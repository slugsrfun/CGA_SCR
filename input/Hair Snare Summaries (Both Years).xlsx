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n\Documents\Central Georgia\2nd Summer (24)\Final Summaries\"/>
    </mc:Choice>
  </mc:AlternateContent>
  <xr:revisionPtr revIDLastSave="0" documentId="13_ncr:1_{E9E3D2FF-6825-428A-AE7C-C59081219903}" xr6:coauthVersionLast="47" xr6:coauthVersionMax="47" xr10:uidLastSave="{00000000-0000-0000-0000-000000000000}"/>
  <bookViews>
    <workbookView xWindow="-108" yWindow="-108" windowWidth="23256" windowHeight="13896" tabRatio="685" xr2:uid="{D67A058C-72D0-4498-B118-D83B53BD1F6F}"/>
  </bookViews>
  <sheets>
    <sheet name="2023 Snares" sheetId="1" r:id="rId1"/>
    <sheet name="2024 Snares" sheetId="7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I23" i="7" l="1"/>
  <c r="CH23" i="7"/>
  <c r="CI12" i="7"/>
  <c r="CG20" i="7"/>
  <c r="CG18" i="7"/>
  <c r="CI16" i="7" a="1"/>
  <c r="CI27" i="7" a="1"/>
  <c r="CI28" i="7" a="1"/>
  <c r="CI28" i="7" l="1"/>
  <c r="CI27" i="7"/>
  <c r="CI16" i="7"/>
  <c r="CG16" i="7" l="1"/>
  <c r="CG23" i="7"/>
  <c r="CJ23" i="7"/>
  <c r="BW18" i="7"/>
  <c r="BW19" i="7"/>
  <c r="BW20" i="7"/>
  <c r="CG8" i="7" s="1"/>
  <c r="BW21" i="7"/>
  <c r="CD67" i="7"/>
  <c r="CD68" i="7"/>
  <c r="CD69" i="7"/>
  <c r="CD70" i="7"/>
  <c r="CD71" i="7"/>
  <c r="CD72" i="7"/>
  <c r="CD73" i="7"/>
  <c r="CD74" i="7"/>
  <c r="CD75" i="7"/>
  <c r="CD76" i="7"/>
  <c r="CD77" i="7"/>
  <c r="CD78" i="7"/>
  <c r="CH16" i="7" a="1"/>
  <c r="CH16" i="7" l="1"/>
  <c r="BW142" i="7"/>
  <c r="BW141" i="7"/>
  <c r="BW140" i="7"/>
  <c r="BW138" i="7"/>
  <c r="BW137" i="7"/>
  <c r="BW136" i="7"/>
  <c r="BW134" i="7"/>
  <c r="BW131" i="7"/>
  <c r="BW130" i="7"/>
  <c r="BW125" i="7"/>
  <c r="BW124" i="7"/>
  <c r="BW123" i="7"/>
  <c r="BW122" i="7"/>
  <c r="BW121" i="7"/>
  <c r="BW120" i="7"/>
  <c r="BW118" i="7"/>
  <c r="BW117" i="7"/>
  <c r="BW116" i="7"/>
  <c r="BW112" i="7"/>
  <c r="BW111" i="7"/>
  <c r="BW110" i="7"/>
  <c r="BW109" i="7"/>
  <c r="BW104" i="7"/>
  <c r="BW103" i="7"/>
  <c r="BW102" i="7"/>
  <c r="BW101" i="7"/>
  <c r="BW100" i="7"/>
  <c r="BW99" i="7"/>
  <c r="BW98" i="7"/>
  <c r="BW97" i="7"/>
  <c r="BW96" i="7"/>
  <c r="BW94" i="7"/>
  <c r="BW92" i="7"/>
  <c r="BW91" i="7"/>
  <c r="BW90" i="7"/>
  <c r="BW86" i="7"/>
  <c r="BW85" i="7"/>
  <c r="BW84" i="7"/>
  <c r="BW83" i="7"/>
  <c r="BW76" i="7"/>
  <c r="BW77" i="7"/>
  <c r="BW75" i="7"/>
  <c r="BW74" i="7"/>
  <c r="BW73" i="7"/>
  <c r="BW72" i="7"/>
  <c r="BW71" i="7"/>
  <c r="BW70" i="7"/>
  <c r="BW65" i="7"/>
  <c r="BW64" i="7"/>
  <c r="BW63" i="7"/>
  <c r="BW62" i="7"/>
  <c r="BW61" i="7"/>
  <c r="BW60" i="7"/>
  <c r="BW59" i="7"/>
  <c r="BW58" i="7"/>
  <c r="BW57" i="7"/>
  <c r="BW56" i="7"/>
  <c r="BW55" i="7"/>
  <c r="BW54" i="7"/>
  <c r="BW43" i="7"/>
  <c r="BW42" i="7"/>
  <c r="BW24" i="7"/>
  <c r="BW23" i="7"/>
  <c r="BW16" i="7"/>
  <c r="BW15" i="7"/>
  <c r="BW14" i="7"/>
  <c r="BW13" i="7"/>
  <c r="BW12" i="7"/>
  <c r="BW11" i="7"/>
  <c r="BW9" i="7"/>
  <c r="BW8" i="7"/>
  <c r="BW7" i="7"/>
  <c r="BW6" i="7"/>
  <c r="BW5" i="7"/>
  <c r="BW4" i="7"/>
  <c r="BM134" i="7" l="1"/>
  <c r="BM131" i="7"/>
  <c r="BM130" i="7"/>
  <c r="BM120" i="7"/>
  <c r="BM119" i="7"/>
  <c r="BM49" i="7"/>
  <c r="BM48" i="7"/>
  <c r="BM25" i="7"/>
  <c r="BM24" i="7"/>
  <c r="BM12" i="7"/>
  <c r="BM137" i="7"/>
  <c r="BM136" i="7"/>
  <c r="BM89" i="7"/>
  <c r="BM87" i="7"/>
  <c r="BM83" i="7"/>
  <c r="BM81" i="7"/>
  <c r="BM80" i="7"/>
  <c r="BM78" i="7"/>
  <c r="BM77" i="7"/>
  <c r="BM76" i="7"/>
  <c r="BM75" i="7"/>
  <c r="BM74" i="7"/>
  <c r="BM73" i="7"/>
  <c r="BM72" i="7"/>
  <c r="BM71" i="7"/>
  <c r="BM70" i="7"/>
  <c r="BM69" i="7"/>
  <c r="BM68" i="7"/>
  <c r="BM67" i="7"/>
  <c r="BM66" i="7"/>
  <c r="BM65" i="7"/>
  <c r="BM64" i="7"/>
  <c r="BM63" i="7"/>
  <c r="BM61" i="7"/>
  <c r="BM60" i="7"/>
  <c r="BM59" i="7"/>
  <c r="BM58" i="7"/>
  <c r="BM57" i="7"/>
  <c r="BM56" i="7"/>
  <c r="BM55" i="7"/>
  <c r="BM54" i="7"/>
  <c r="BM19" i="7"/>
  <c r="BM18" i="7"/>
  <c r="BM17" i="7"/>
  <c r="BM15" i="7"/>
  <c r="BM9" i="7"/>
  <c r="BM8" i="7"/>
  <c r="BM7" i="7"/>
  <c r="BM6" i="7"/>
  <c r="BM5" i="7"/>
  <c r="BM4" i="7"/>
  <c r="BM3" i="7"/>
  <c r="BM126" i="7"/>
  <c r="BM123" i="7"/>
  <c r="BM121" i="7"/>
  <c r="BM117" i="7"/>
  <c r="BM116" i="7"/>
  <c r="BM115" i="7"/>
  <c r="BM114" i="7"/>
  <c r="BM111" i="7"/>
  <c r="BM110" i="7"/>
  <c r="BM109" i="7"/>
  <c r="BM108" i="7"/>
  <c r="BM102" i="7"/>
  <c r="BM101" i="7"/>
  <c r="BM100" i="7"/>
  <c r="BM99" i="7"/>
  <c r="BM98" i="7"/>
  <c r="BM96" i="7"/>
  <c r="BM94" i="7"/>
  <c r="BM93" i="7"/>
  <c r="BM88" i="7"/>
  <c r="BM21" i="7"/>
  <c r="BM20" i="7"/>
  <c r="BM16" i="7"/>
  <c r="BM14" i="7"/>
  <c r="BM13" i="7"/>
  <c r="BC142" i="7"/>
  <c r="BC141" i="7"/>
  <c r="BC136" i="7"/>
  <c r="BC135" i="7"/>
  <c r="BC134" i="7"/>
  <c r="BC131" i="7"/>
  <c r="BC130" i="7"/>
  <c r="BC128" i="7"/>
  <c r="BC127" i="7"/>
  <c r="BC125" i="7"/>
  <c r="BC124" i="7"/>
  <c r="BC123" i="7"/>
  <c r="BC120" i="7"/>
  <c r="BC119" i="7"/>
  <c r="BC106" i="7"/>
  <c r="BC105" i="7"/>
  <c r="BC104" i="7"/>
  <c r="BC103" i="7"/>
  <c r="BC91" i="7"/>
  <c r="BC90" i="7"/>
  <c r="BC89" i="7"/>
  <c r="BC87" i="7"/>
  <c r="BC86" i="7"/>
  <c r="BC85" i="7"/>
  <c r="BC84" i="7"/>
  <c r="BC83" i="7"/>
  <c r="BC81" i="7"/>
  <c r="BC78" i="7"/>
  <c r="BC76" i="7"/>
  <c r="BC74" i="7"/>
  <c r="BC73" i="7"/>
  <c r="BC72" i="7"/>
  <c r="BC71" i="7"/>
  <c r="BC70" i="7"/>
  <c r="BC69" i="7"/>
  <c r="BC65" i="7"/>
  <c r="BC64" i="7"/>
  <c r="BC63" i="7"/>
  <c r="BC62" i="7"/>
  <c r="BC61" i="7"/>
  <c r="BC60" i="7"/>
  <c r="BC59" i="7"/>
  <c r="BC58" i="7"/>
  <c r="BC57" i="7"/>
  <c r="BC56" i="7"/>
  <c r="BC55" i="7"/>
  <c r="BC54" i="7"/>
  <c r="BC43" i="7"/>
  <c r="BC42" i="7"/>
  <c r="BC41" i="7"/>
  <c r="BC26" i="7"/>
  <c r="BC25" i="7"/>
  <c r="BC24" i="7"/>
  <c r="BC19" i="7"/>
  <c r="BC9" i="7"/>
  <c r="BC8" i="7"/>
  <c r="BC7" i="7"/>
  <c r="BC6" i="7"/>
  <c r="BC5" i="7"/>
  <c r="BC4" i="7"/>
  <c r="BC3" i="7"/>
  <c r="BC122" i="7" l="1"/>
  <c r="BC117" i="7"/>
  <c r="BC116" i="7"/>
  <c r="BC115" i="7"/>
  <c r="BC100" i="7"/>
  <c r="BC99" i="7"/>
  <c r="BC96" i="7"/>
  <c r="BC94" i="7"/>
  <c r="BC20" i="7"/>
  <c r="BC16" i="7"/>
  <c r="BC14" i="7"/>
  <c r="BC13" i="7"/>
  <c r="BC11" i="7"/>
  <c r="AS135" i="7"/>
  <c r="AS134" i="7"/>
  <c r="AS131" i="7"/>
  <c r="AS130" i="7"/>
  <c r="AS128" i="7"/>
  <c r="AS125" i="7"/>
  <c r="AS120" i="7"/>
  <c r="AS107" i="7"/>
  <c r="AS103" i="7"/>
  <c r="AS102" i="7"/>
  <c r="AS92" i="7"/>
  <c r="AS90" i="7"/>
  <c r="AS89" i="7"/>
  <c r="AS86" i="7"/>
  <c r="AS85" i="7"/>
  <c r="AS84" i="7"/>
  <c r="AS83" i="7"/>
  <c r="AS81" i="7"/>
  <c r="AS80" i="7"/>
  <c r="AS77" i="7"/>
  <c r="AS76" i="7"/>
  <c r="AS75" i="7"/>
  <c r="AS73" i="7"/>
  <c r="AS72" i="7"/>
  <c r="AS70" i="7"/>
  <c r="AS69" i="7"/>
  <c r="AS68" i="7"/>
  <c r="AS67" i="7"/>
  <c r="AS65" i="7"/>
  <c r="AS64" i="7"/>
  <c r="AS63" i="7"/>
  <c r="AS61" i="7"/>
  <c r="AS60" i="7"/>
  <c r="AS58" i="7"/>
  <c r="AS57" i="7"/>
  <c r="AS45" i="7"/>
  <c r="AS24" i="7"/>
  <c r="AS23" i="7"/>
  <c r="AS17" i="7"/>
  <c r="AS9" i="7"/>
  <c r="AS142" i="7"/>
  <c r="AS141" i="7"/>
  <c r="AS140" i="7"/>
  <c r="AS139" i="7"/>
  <c r="AS124" i="7"/>
  <c r="AS123" i="7"/>
  <c r="AS138" i="7"/>
  <c r="AS122" i="7"/>
  <c r="AS121" i="7"/>
  <c r="AS117" i="7"/>
  <c r="AS116" i="7"/>
  <c r="AS115" i="7"/>
  <c r="AS114" i="7"/>
  <c r="AS112" i="7"/>
  <c r="AS111" i="7"/>
  <c r="AS109" i="7"/>
  <c r="AS108" i="7"/>
  <c r="AS101" i="7"/>
  <c r="AS100" i="7"/>
  <c r="AS99" i="7"/>
  <c r="AS98" i="7"/>
  <c r="AS97" i="7"/>
  <c r="AS96" i="7"/>
  <c r="AS94" i="7"/>
  <c r="AS93" i="7"/>
  <c r="AS88" i="7"/>
  <c r="AS21" i="7"/>
  <c r="AS20" i="7"/>
  <c r="AS16" i="7"/>
  <c r="AS15" i="7"/>
  <c r="AS14" i="7"/>
  <c r="AS13" i="7"/>
  <c r="AS12" i="7"/>
  <c r="AS11" i="7"/>
  <c r="AI145" i="7" l="1"/>
  <c r="AI135" i="7"/>
  <c r="AI134" i="7"/>
  <c r="AI130" i="7"/>
  <c r="AI128" i="7"/>
  <c r="AI125" i="7"/>
  <c r="AI120" i="7"/>
  <c r="AI104" i="7"/>
  <c r="AI92" i="7"/>
  <c r="AI91" i="7"/>
  <c r="AI51" i="7"/>
  <c r="AI50" i="7"/>
  <c r="AI47" i="7"/>
  <c r="AI45" i="7"/>
  <c r="AI46" i="7"/>
  <c r="AI44" i="7"/>
  <c r="AI42" i="7"/>
  <c r="AI43" i="7"/>
  <c r="AI41" i="7"/>
  <c r="AI137" i="7"/>
  <c r="AI136" i="7"/>
  <c r="AI90" i="7"/>
  <c r="AI89" i="7"/>
  <c r="AI87" i="7"/>
  <c r="AI84" i="7"/>
  <c r="AI83" i="7"/>
  <c r="AI81" i="7"/>
  <c r="AI77" i="7"/>
  <c r="AI76" i="7"/>
  <c r="AI74" i="7"/>
  <c r="AI72" i="7"/>
  <c r="AI71" i="7"/>
  <c r="AI70" i="7"/>
  <c r="AI69" i="7"/>
  <c r="AI68" i="7"/>
  <c r="AI67" i="7"/>
  <c r="AI65" i="7"/>
  <c r="AI63" i="7"/>
  <c r="AI62" i="7"/>
  <c r="AI61" i="7"/>
  <c r="AI59" i="7"/>
  <c r="AI60" i="7"/>
  <c r="AI58" i="7"/>
  <c r="AI57" i="7"/>
  <c r="AI56" i="7"/>
  <c r="AI55" i="7"/>
  <c r="AI54" i="7"/>
  <c r="AI17" i="7"/>
  <c r="AI9" i="7"/>
  <c r="AI8" i="7"/>
  <c r="AI7" i="7"/>
  <c r="AI6" i="7"/>
  <c r="AI5" i="7"/>
  <c r="AI4" i="7"/>
  <c r="AI142" i="7"/>
  <c r="AI141" i="7"/>
  <c r="AI139" i="7"/>
  <c r="AI127" i="7"/>
  <c r="AI126" i="7"/>
  <c r="AI123" i="7"/>
  <c r="AI146" i="7"/>
  <c r="AI138" i="7"/>
  <c r="AI122" i="7"/>
  <c r="AI121" i="7"/>
  <c r="AI117" i="7"/>
  <c r="AI116" i="7"/>
  <c r="AI115" i="7"/>
  <c r="AI114" i="7"/>
  <c r="AI112" i="7"/>
  <c r="AI108" i="7"/>
  <c r="AI101" i="7"/>
  <c r="AI100" i="7"/>
  <c r="AI98" i="7"/>
  <c r="AI96" i="7"/>
  <c r="AI94" i="7"/>
  <c r="AI21" i="7"/>
  <c r="AI20" i="7"/>
  <c r="CD134" i="1" l="1"/>
  <c r="CD133" i="1"/>
  <c r="CD132" i="1"/>
  <c r="CD131" i="1"/>
  <c r="CD130" i="1"/>
  <c r="CD129" i="1"/>
  <c r="CD128" i="1"/>
  <c r="CD127" i="1"/>
  <c r="CD126" i="1"/>
  <c r="CD125" i="1"/>
  <c r="CD124" i="1"/>
  <c r="CD123" i="1"/>
  <c r="CD122" i="1"/>
  <c r="CD121" i="1"/>
  <c r="CD120" i="1"/>
  <c r="CD119" i="1"/>
  <c r="CD118" i="1"/>
  <c r="CD117" i="1"/>
  <c r="CD116" i="1"/>
  <c r="CD115" i="1"/>
  <c r="CD114" i="1"/>
  <c r="CD113" i="1"/>
  <c r="CD112" i="1"/>
  <c r="CD111" i="1"/>
  <c r="CD110" i="1"/>
  <c r="CD109" i="1"/>
  <c r="CD108" i="1"/>
  <c r="CD107" i="1"/>
  <c r="CD106" i="1"/>
  <c r="CD105" i="1"/>
  <c r="CD104" i="1"/>
  <c r="CD103" i="1"/>
  <c r="CD102" i="1"/>
  <c r="CD101" i="1"/>
  <c r="CD100" i="1"/>
  <c r="CD99" i="1"/>
  <c r="CD98" i="1"/>
  <c r="CD97" i="1"/>
  <c r="CD96" i="1"/>
  <c r="CD95" i="1"/>
  <c r="CD94" i="1"/>
  <c r="CD93" i="1"/>
  <c r="CD92" i="1"/>
  <c r="CD91" i="1"/>
  <c r="CD90" i="1"/>
  <c r="CD89" i="1"/>
  <c r="CD88" i="1"/>
  <c r="CD87" i="1"/>
  <c r="CD86" i="1"/>
  <c r="CD85" i="1"/>
  <c r="CD84" i="1"/>
  <c r="CD83" i="1"/>
  <c r="CD82" i="1"/>
  <c r="CD81" i="1"/>
  <c r="CD80" i="1"/>
  <c r="CD79" i="1"/>
  <c r="CD78" i="1"/>
  <c r="CD77" i="1"/>
  <c r="CD76" i="1"/>
  <c r="CD75" i="1"/>
  <c r="CD74" i="1"/>
  <c r="CD73" i="1"/>
  <c r="CD72" i="1"/>
  <c r="CD71" i="1"/>
  <c r="CD70" i="1"/>
  <c r="CD69" i="1"/>
  <c r="CD68" i="1"/>
  <c r="CD67" i="1"/>
  <c r="CD66" i="1"/>
  <c r="CD65" i="1"/>
  <c r="CD64" i="1"/>
  <c r="CD63" i="1"/>
  <c r="CD62" i="1"/>
  <c r="CD61" i="1"/>
  <c r="CD60" i="1"/>
  <c r="CD59" i="1"/>
  <c r="CD58" i="1"/>
  <c r="CD57" i="1"/>
  <c r="CD56" i="1"/>
  <c r="CD55" i="1"/>
  <c r="CD54" i="1"/>
  <c r="CD53" i="1"/>
  <c r="CD52" i="1"/>
  <c r="CD51" i="1"/>
  <c r="CD50" i="1"/>
  <c r="CD49" i="1"/>
  <c r="CD48" i="1"/>
  <c r="CD47" i="1"/>
  <c r="CD46" i="1"/>
  <c r="CD45" i="1"/>
  <c r="CD44" i="1"/>
  <c r="CD43" i="1"/>
  <c r="CD42" i="1"/>
  <c r="CD41" i="1"/>
  <c r="CD40" i="1"/>
  <c r="CD39" i="1"/>
  <c r="CD38" i="1"/>
  <c r="CD37" i="1"/>
  <c r="CD36" i="1"/>
  <c r="CD35" i="1"/>
  <c r="CD34" i="1"/>
  <c r="CD33" i="1"/>
  <c r="CD32" i="1"/>
  <c r="CD31" i="1"/>
  <c r="CD30" i="1"/>
  <c r="CD29" i="1"/>
  <c r="CG28" i="1"/>
  <c r="CD28" i="1"/>
  <c r="CG27" i="1"/>
  <c r="CD27" i="1"/>
  <c r="CG26" i="1"/>
  <c r="CD26" i="1"/>
  <c r="CJ25" i="1"/>
  <c r="CI25" i="1"/>
  <c r="CH25" i="1"/>
  <c r="CG25" i="1"/>
  <c r="CD25" i="1"/>
  <c r="CG24" i="1"/>
  <c r="CD24" i="1"/>
  <c r="CJ23" i="1"/>
  <c r="CI23" i="1"/>
  <c r="CH23" i="1"/>
  <c r="CG23" i="1"/>
  <c r="CD23" i="1"/>
  <c r="CJ22" i="1"/>
  <c r="CI22" i="1"/>
  <c r="CH22" i="1"/>
  <c r="CG22" i="1"/>
  <c r="CD22" i="1"/>
  <c r="CG21" i="1"/>
  <c r="CD21" i="1"/>
  <c r="CG20" i="1"/>
  <c r="CD20" i="1"/>
  <c r="CG19" i="1"/>
  <c r="CD19" i="1"/>
  <c r="CJ18" i="1"/>
  <c r="CI18" i="1"/>
  <c r="CH18" i="1"/>
  <c r="CG18" i="1"/>
  <c r="CD18" i="1"/>
  <c r="CG17" i="1"/>
  <c r="CD17" i="1"/>
  <c r="CJ16" i="1"/>
  <c r="CI16" i="1"/>
  <c r="CH16" i="1"/>
  <c r="CG16" i="1"/>
  <c r="CD16" i="1"/>
  <c r="CJ15" i="1"/>
  <c r="CI15" i="1"/>
  <c r="CH15" i="1"/>
  <c r="CG15" i="1"/>
  <c r="CD15" i="1"/>
  <c r="CJ14" i="1"/>
  <c r="CI14" i="1"/>
  <c r="CH14" i="1"/>
  <c r="CG14" i="1"/>
  <c r="CD14" i="1"/>
  <c r="CJ13" i="1"/>
  <c r="CI13" i="1"/>
  <c r="CH13" i="1"/>
  <c r="CG13" i="1"/>
  <c r="CD13" i="1"/>
  <c r="CJ12" i="1"/>
  <c r="CI12" i="1"/>
  <c r="CH12" i="1"/>
  <c r="CG12" i="1"/>
  <c r="CD12" i="1"/>
  <c r="CJ11" i="1"/>
  <c r="CI11" i="1"/>
  <c r="CH11" i="1"/>
  <c r="CG11" i="1"/>
  <c r="CD11" i="1"/>
  <c r="CD10" i="1"/>
  <c r="CD9" i="1"/>
  <c r="CG8" i="1"/>
  <c r="CD8" i="1"/>
  <c r="CG7" i="1"/>
  <c r="CD7" i="1"/>
  <c r="CG6" i="1"/>
  <c r="CD6" i="1"/>
  <c r="CG5" i="1"/>
  <c r="CD5" i="1"/>
  <c r="CJ4" i="1"/>
  <c r="CG4" i="1"/>
  <c r="CD4" i="1"/>
  <c r="CJ3" i="1"/>
  <c r="CG3" i="1"/>
  <c r="CD3" i="1"/>
  <c r="CJ2" i="1"/>
  <c r="CG2" i="1"/>
  <c r="CD2" i="1"/>
  <c r="BW146" i="7"/>
  <c r="BM146" i="7"/>
  <c r="BC146" i="7"/>
  <c r="AS146" i="7"/>
  <c r="AD146" i="7"/>
  <c r="Y146" i="7"/>
  <c r="O146" i="7"/>
  <c r="J146" i="7"/>
  <c r="T146" i="7" s="1"/>
  <c r="BM145" i="7"/>
  <c r="BC145" i="7"/>
  <c r="AS145" i="7"/>
  <c r="AD145" i="7"/>
  <c r="Y145" i="7"/>
  <c r="O145" i="7"/>
  <c r="J145" i="7"/>
  <c r="T145" i="7" s="1"/>
  <c r="BM144" i="7"/>
  <c r="BC144" i="7"/>
  <c r="AS144" i="7"/>
  <c r="AI144" i="7"/>
  <c r="AD144" i="7"/>
  <c r="Y144" i="7"/>
  <c r="O144" i="7"/>
  <c r="J144" i="7"/>
  <c r="T144" i="7" s="1"/>
  <c r="BM143" i="7"/>
  <c r="BC143" i="7"/>
  <c r="AS143" i="7"/>
  <c r="AI143" i="7"/>
  <c r="AD143" i="7"/>
  <c r="Y143" i="7"/>
  <c r="T143" i="7"/>
  <c r="J143" i="7"/>
  <c r="BM142" i="7"/>
  <c r="AD142" i="7"/>
  <c r="Y142" i="7"/>
  <c r="O142" i="7"/>
  <c r="J142" i="7"/>
  <c r="T142" i="7" s="1"/>
  <c r="BM141" i="7"/>
  <c r="CD141" i="7" s="1"/>
  <c r="AD141" i="7"/>
  <c r="Y141" i="7"/>
  <c r="J141" i="7"/>
  <c r="T141" i="7" s="1"/>
  <c r="BM140" i="7"/>
  <c r="BC140" i="7"/>
  <c r="AI140" i="7"/>
  <c r="AD140" i="7"/>
  <c r="Y140" i="7"/>
  <c r="O140" i="7"/>
  <c r="J140" i="7"/>
  <c r="T140" i="7" s="1"/>
  <c r="BW139" i="7"/>
  <c r="BM139" i="7"/>
  <c r="BC139" i="7"/>
  <c r="AD139" i="7"/>
  <c r="Y139" i="7"/>
  <c r="J139" i="7"/>
  <c r="T139" i="7" s="1"/>
  <c r="BM138" i="7"/>
  <c r="BC138" i="7"/>
  <c r="AD138" i="7"/>
  <c r="Y138" i="7"/>
  <c r="T138" i="7"/>
  <c r="O138" i="7"/>
  <c r="J138" i="7"/>
  <c r="BC137" i="7"/>
  <c r="AS137" i="7"/>
  <c r="AD137" i="7"/>
  <c r="Y137" i="7"/>
  <c r="J137" i="7"/>
  <c r="T137" i="7" s="1"/>
  <c r="AS136" i="7"/>
  <c r="AD136" i="7"/>
  <c r="Y136" i="7"/>
  <c r="T136" i="7"/>
  <c r="O136" i="7"/>
  <c r="J136" i="7"/>
  <c r="BW135" i="7"/>
  <c r="BM135" i="7"/>
  <c r="CD135" i="7" s="1"/>
  <c r="AD135" i="7"/>
  <c r="Y135" i="7"/>
  <c r="T135" i="7"/>
  <c r="O135" i="7"/>
  <c r="J135" i="7"/>
  <c r="Y134" i="7"/>
  <c r="O134" i="7"/>
  <c r="CD134" i="7" s="1"/>
  <c r="BW133" i="7"/>
  <c r="BM133" i="7"/>
  <c r="BC133" i="7"/>
  <c r="AS133" i="7"/>
  <c r="AI133" i="7"/>
  <c r="Y133" i="7"/>
  <c r="O133" i="7"/>
  <c r="CD133" i="7" s="1"/>
  <c r="BW132" i="7"/>
  <c r="BM132" i="7"/>
  <c r="BC132" i="7"/>
  <c r="AS132" i="7"/>
  <c r="AI132" i="7"/>
  <c r="Y132" i="7"/>
  <c r="O132" i="7"/>
  <c r="CD132" i="7" s="1"/>
  <c r="AI131" i="7"/>
  <c r="Y131" i="7"/>
  <c r="O131" i="7"/>
  <c r="CD130" i="7"/>
  <c r="Y130" i="7"/>
  <c r="O130" i="7"/>
  <c r="BW129" i="7"/>
  <c r="BM129" i="7"/>
  <c r="BC129" i="7"/>
  <c r="AS129" i="7"/>
  <c r="AI129" i="7"/>
  <c r="Y129" i="7"/>
  <c r="O129" i="7"/>
  <c r="BW128" i="7"/>
  <c r="BM128" i="7"/>
  <c r="Y128" i="7"/>
  <c r="O128" i="7"/>
  <c r="BW127" i="7"/>
  <c r="BM127" i="7"/>
  <c r="AS127" i="7"/>
  <c r="Y127" i="7"/>
  <c r="BW126" i="7"/>
  <c r="BC126" i="7"/>
  <c r="AS126" i="7"/>
  <c r="Y126" i="7"/>
  <c r="O126" i="7"/>
  <c r="BM125" i="7"/>
  <c r="Y125" i="7"/>
  <c r="O125" i="7"/>
  <c r="BM124" i="7"/>
  <c r="AI124" i="7"/>
  <c r="Y124" i="7"/>
  <c r="O124" i="7"/>
  <c r="Y123" i="7"/>
  <c r="CD123" i="7" s="1"/>
  <c r="BM122" i="7"/>
  <c r="Y122" i="7"/>
  <c r="O122" i="7"/>
  <c r="BC121" i="7"/>
  <c r="Y121" i="7"/>
  <c r="O121" i="7"/>
  <c r="Y120" i="7"/>
  <c r="O120" i="7"/>
  <c r="CD120" i="7" s="1"/>
  <c r="BW119" i="7"/>
  <c r="AS119" i="7"/>
  <c r="AI119" i="7"/>
  <c r="Y119" i="7"/>
  <c r="O119" i="7"/>
  <c r="BM118" i="7"/>
  <c r="BC118" i="7"/>
  <c r="AS118" i="7"/>
  <c r="AI118" i="7"/>
  <c r="Y118" i="7"/>
  <c r="Y117" i="7"/>
  <c r="CD117" i="7" s="1"/>
  <c r="O117" i="7"/>
  <c r="Y116" i="7"/>
  <c r="O116" i="7"/>
  <c r="CD116" i="7" s="1"/>
  <c r="BW115" i="7"/>
  <c r="Y115" i="7"/>
  <c r="O115" i="7"/>
  <c r="BW114" i="7"/>
  <c r="BC114" i="7"/>
  <c r="Y114" i="7"/>
  <c r="O114" i="7"/>
  <c r="BW113" i="7"/>
  <c r="BM113" i="7"/>
  <c r="BC113" i="7"/>
  <c r="AS113" i="7"/>
  <c r="AI113" i="7"/>
  <c r="O113" i="7"/>
  <c r="BM112" i="7"/>
  <c r="BC112" i="7"/>
  <c r="Y112" i="7"/>
  <c r="O112" i="7"/>
  <c r="BC111" i="7"/>
  <c r="AI111" i="7"/>
  <c r="Y111" i="7"/>
  <c r="O111" i="7"/>
  <c r="BC110" i="7"/>
  <c r="AS110" i="7"/>
  <c r="AI110" i="7"/>
  <c r="Y110" i="7"/>
  <c r="O110" i="7"/>
  <c r="BC109" i="7"/>
  <c r="AI109" i="7"/>
  <c r="Y109" i="7"/>
  <c r="O109" i="7"/>
  <c r="BW108" i="7"/>
  <c r="BC108" i="7"/>
  <c r="Y108" i="7"/>
  <c r="O108" i="7"/>
  <c r="BW107" i="7"/>
  <c r="BM107" i="7"/>
  <c r="BC107" i="7"/>
  <c r="AI107" i="7"/>
  <c r="Y107" i="7"/>
  <c r="O107" i="7"/>
  <c r="BW106" i="7"/>
  <c r="BM106" i="7"/>
  <c r="AS106" i="7"/>
  <c r="AI106" i="7"/>
  <c r="Y106" i="7"/>
  <c r="O106" i="7"/>
  <c r="BW105" i="7"/>
  <c r="BM105" i="7"/>
  <c r="AS105" i="7"/>
  <c r="AI105" i="7"/>
  <c r="Y105" i="7"/>
  <c r="O105" i="7"/>
  <c r="BM104" i="7"/>
  <c r="AS104" i="7"/>
  <c r="Y104" i="7"/>
  <c r="O104" i="7"/>
  <c r="BM103" i="7"/>
  <c r="AI103" i="7"/>
  <c r="Y103" i="7"/>
  <c r="O103" i="7"/>
  <c r="BC102" i="7"/>
  <c r="AI102" i="7"/>
  <c r="Y102" i="7"/>
  <c r="O102" i="7"/>
  <c r="BC101" i="7"/>
  <c r="Y101" i="7"/>
  <c r="O101" i="7"/>
  <c r="CD100" i="7"/>
  <c r="Y100" i="7"/>
  <c r="O100" i="7"/>
  <c r="AI99" i="7"/>
  <c r="Y99" i="7"/>
  <c r="O99" i="7"/>
  <c r="BC98" i="7"/>
  <c r="Y98" i="7"/>
  <c r="O98" i="7"/>
  <c r="BM97" i="7"/>
  <c r="BC97" i="7"/>
  <c r="AI97" i="7"/>
  <c r="Y97" i="7"/>
  <c r="O97" i="7"/>
  <c r="Y96" i="7"/>
  <c r="O96" i="7"/>
  <c r="CD96" i="7" s="1"/>
  <c r="BW95" i="7"/>
  <c r="BM95" i="7"/>
  <c r="BC95" i="7"/>
  <c r="AS95" i="7"/>
  <c r="AI95" i="7"/>
  <c r="Y95" i="7"/>
  <c r="O95" i="7"/>
  <c r="CD94" i="7"/>
  <c r="Y94" i="7"/>
  <c r="O94" i="7"/>
  <c r="BW93" i="7"/>
  <c r="BC93" i="7"/>
  <c r="AI93" i="7"/>
  <c r="Y93" i="7"/>
  <c r="O93" i="7"/>
  <c r="BM92" i="7"/>
  <c r="BC92" i="7"/>
  <c r="Y92" i="7"/>
  <c r="O92" i="7"/>
  <c r="BM91" i="7"/>
  <c r="AS91" i="7"/>
  <c r="Y91" i="7"/>
  <c r="O91" i="7"/>
  <c r="BM90" i="7"/>
  <c r="CD90" i="7" s="1"/>
  <c r="Y90" i="7"/>
  <c r="O90" i="7"/>
  <c r="BW89" i="7"/>
  <c r="CD89" i="7" s="1"/>
  <c r="Y89" i="7"/>
  <c r="O89" i="7"/>
  <c r="BW88" i="7"/>
  <c r="BC88" i="7"/>
  <c r="AI88" i="7"/>
  <c r="CD88" i="7" s="1"/>
  <c r="Y88" i="7"/>
  <c r="O88" i="7"/>
  <c r="BW87" i="7"/>
  <c r="AS87" i="7"/>
  <c r="Y87" i="7"/>
  <c r="O87" i="7"/>
  <c r="BM86" i="7"/>
  <c r="AI86" i="7"/>
  <c r="Y86" i="7"/>
  <c r="O86" i="7"/>
  <c r="BM85" i="7"/>
  <c r="AI85" i="7"/>
  <c r="Y85" i="7"/>
  <c r="O85" i="7"/>
  <c r="BM84" i="7"/>
  <c r="Y84" i="7"/>
  <c r="O84" i="7"/>
  <c r="Y83" i="7"/>
  <c r="O83" i="7"/>
  <c r="CD83" i="7" s="1"/>
  <c r="BW82" i="7"/>
  <c r="BM82" i="7"/>
  <c r="BC82" i="7"/>
  <c r="AS82" i="7"/>
  <c r="AI82" i="7"/>
  <c r="Y82" i="7"/>
  <c r="O82" i="7"/>
  <c r="BW81" i="7"/>
  <c r="CD81" i="7" s="1"/>
  <c r="Y81" i="7"/>
  <c r="O81" i="7"/>
  <c r="BW80" i="7"/>
  <c r="BC80" i="7"/>
  <c r="AI80" i="7"/>
  <c r="Y80" i="7"/>
  <c r="O80" i="7"/>
  <c r="BW79" i="7"/>
  <c r="BM79" i="7"/>
  <c r="BC79" i="7"/>
  <c r="AS79" i="7"/>
  <c r="AI79" i="7"/>
  <c r="Y79" i="7"/>
  <c r="O79" i="7"/>
  <c r="CD79" i="7" s="1"/>
  <c r="BW78" i="7"/>
  <c r="AS78" i="7"/>
  <c r="AI78" i="7"/>
  <c r="Y78" i="7"/>
  <c r="O78" i="7"/>
  <c r="BC77" i="7"/>
  <c r="Y77" i="7"/>
  <c r="O77" i="7"/>
  <c r="Y76" i="7"/>
  <c r="O76" i="7"/>
  <c r="BC75" i="7"/>
  <c r="AI75" i="7"/>
  <c r="Y75" i="7"/>
  <c r="O75" i="7"/>
  <c r="AS74" i="7"/>
  <c r="Y74" i="7"/>
  <c r="O74" i="7"/>
  <c r="AI73" i="7"/>
  <c r="Y73" i="7"/>
  <c r="O73" i="7"/>
  <c r="Y72" i="7"/>
  <c r="O72" i="7"/>
  <c r="AS71" i="7"/>
  <c r="Y71" i="7"/>
  <c r="O71" i="7"/>
  <c r="BW69" i="7"/>
  <c r="Y70" i="7"/>
  <c r="O70" i="7"/>
  <c r="BW68" i="7"/>
  <c r="Y69" i="7"/>
  <c r="O69" i="7"/>
  <c r="BW67" i="7"/>
  <c r="BC68" i="7"/>
  <c r="Y68" i="7"/>
  <c r="O68" i="7"/>
  <c r="BW66" i="7"/>
  <c r="BC67" i="7"/>
  <c r="Y67" i="7"/>
  <c r="O67" i="7"/>
  <c r="BC66" i="7"/>
  <c r="AS66" i="7"/>
  <c r="AI66" i="7"/>
  <c r="Y66" i="7"/>
  <c r="O66" i="7"/>
  <c r="Y65" i="7"/>
  <c r="O65" i="7"/>
  <c r="CD65" i="7" s="1"/>
  <c r="AI64" i="7"/>
  <c r="Y64" i="7"/>
  <c r="O64" i="7"/>
  <c r="Y63" i="7"/>
  <c r="O63" i="7"/>
  <c r="CD63" i="7" s="1"/>
  <c r="BM62" i="7"/>
  <c r="AS62" i="7"/>
  <c r="Y62" i="7"/>
  <c r="O62" i="7"/>
  <c r="Y61" i="7"/>
  <c r="CD61" i="7" s="1"/>
  <c r="O61" i="7"/>
  <c r="CD60" i="7"/>
  <c r="Y60" i="7"/>
  <c r="O60" i="7"/>
  <c r="AS59" i="7"/>
  <c r="Y59" i="7"/>
  <c r="Y58" i="7"/>
  <c r="O58" i="7"/>
  <c r="CD58" i="7" s="1"/>
  <c r="Y57" i="7"/>
  <c r="O57" i="7"/>
  <c r="CD57" i="7" s="1"/>
  <c r="AS56" i="7"/>
  <c r="Y56" i="7"/>
  <c r="O56" i="7"/>
  <c r="AS55" i="7"/>
  <c r="Y55" i="7"/>
  <c r="O55" i="7"/>
  <c r="AS54" i="7"/>
  <c r="Y54" i="7"/>
  <c r="CD54" i="7" s="1"/>
  <c r="O54" i="7"/>
  <c r="L54" i="7"/>
  <c r="L55" i="7" s="1"/>
  <c r="L56" i="7" s="1"/>
  <c r="L57" i="7" s="1"/>
  <c r="L58" i="7" s="1"/>
  <c r="L59" i="7" s="1"/>
  <c r="L60" i="7" s="1"/>
  <c r="L61" i="7" s="1"/>
  <c r="L62" i="7" s="1"/>
  <c r="L63" i="7" s="1"/>
  <c r="L64" i="7" s="1"/>
  <c r="L65" i="7" s="1"/>
  <c r="L66" i="7" s="1"/>
  <c r="L67" i="7" s="1"/>
  <c r="L68" i="7" s="1"/>
  <c r="L69" i="7" s="1"/>
  <c r="L70" i="7" s="1"/>
  <c r="L71" i="7" s="1"/>
  <c r="L72" i="7" s="1"/>
  <c r="L73" i="7" s="1"/>
  <c r="L74" i="7" s="1"/>
  <c r="L75" i="7" s="1"/>
  <c r="L76" i="7" s="1"/>
  <c r="L77" i="7" s="1"/>
  <c r="L78" i="7" s="1"/>
  <c r="BW53" i="7"/>
  <c r="BM53" i="7"/>
  <c r="BC53" i="7"/>
  <c r="AS53" i="7"/>
  <c r="AI53" i="7"/>
  <c r="Y53" i="7"/>
  <c r="O53" i="7"/>
  <c r="BW52" i="7"/>
  <c r="BM52" i="7"/>
  <c r="BC52" i="7"/>
  <c r="AS52" i="7"/>
  <c r="AI52" i="7"/>
  <c r="Y52" i="7"/>
  <c r="O52" i="7"/>
  <c r="BW51" i="7"/>
  <c r="BM51" i="7"/>
  <c r="BC51" i="7"/>
  <c r="AS51" i="7"/>
  <c r="Y51" i="7"/>
  <c r="O51" i="7"/>
  <c r="BW50" i="7"/>
  <c r="BM50" i="7"/>
  <c r="BC50" i="7"/>
  <c r="AS50" i="7"/>
  <c r="Y50" i="7"/>
  <c r="O50" i="7"/>
  <c r="BW49" i="7"/>
  <c r="BC49" i="7"/>
  <c r="AS49" i="7"/>
  <c r="AI49" i="7"/>
  <c r="Y49" i="7"/>
  <c r="O49" i="7"/>
  <c r="BW48" i="7"/>
  <c r="BC48" i="7"/>
  <c r="AS48" i="7"/>
  <c r="AI48" i="7"/>
  <c r="Y48" i="7"/>
  <c r="O48" i="7"/>
  <c r="BW47" i="7"/>
  <c r="BM47" i="7"/>
  <c r="BC47" i="7"/>
  <c r="AS47" i="7"/>
  <c r="Y47" i="7"/>
  <c r="O47" i="7"/>
  <c r="BW46" i="7"/>
  <c r="BM46" i="7"/>
  <c r="BC46" i="7"/>
  <c r="AS46" i="7"/>
  <c r="Y46" i="7"/>
  <c r="O46" i="7"/>
  <c r="BW45" i="7"/>
  <c r="BM45" i="7"/>
  <c r="BC45" i="7"/>
  <c r="Y45" i="7"/>
  <c r="O45" i="7"/>
  <c r="BW44" i="7"/>
  <c r="BM44" i="7"/>
  <c r="BC44" i="7"/>
  <c r="AS44" i="7"/>
  <c r="Y44" i="7"/>
  <c r="O44" i="7"/>
  <c r="BM43" i="7"/>
  <c r="AS43" i="7"/>
  <c r="Y43" i="7"/>
  <c r="O43" i="7"/>
  <c r="BM42" i="7"/>
  <c r="AS42" i="7"/>
  <c r="Y42" i="7"/>
  <c r="O42" i="7"/>
  <c r="BW41" i="7"/>
  <c r="BM41" i="7"/>
  <c r="AS41" i="7"/>
  <c r="Y41" i="7"/>
  <c r="O41" i="7"/>
  <c r="BW40" i="7"/>
  <c r="BM40" i="7"/>
  <c r="BC40" i="7"/>
  <c r="AS40" i="7"/>
  <c r="AI40" i="7"/>
  <c r="Y40" i="7"/>
  <c r="O40" i="7"/>
  <c r="BW39" i="7"/>
  <c r="BM39" i="7"/>
  <c r="BC39" i="7"/>
  <c r="AS39" i="7"/>
  <c r="AI39" i="7"/>
  <c r="Y39" i="7"/>
  <c r="O39" i="7"/>
  <c r="BW38" i="7"/>
  <c r="BM38" i="7"/>
  <c r="BC38" i="7"/>
  <c r="AS38" i="7"/>
  <c r="AI38" i="7"/>
  <c r="Y38" i="7"/>
  <c r="O38" i="7"/>
  <c r="BW37" i="7"/>
  <c r="BM37" i="7"/>
  <c r="BC37" i="7"/>
  <c r="AS37" i="7"/>
  <c r="AI37" i="7"/>
  <c r="Y37" i="7"/>
  <c r="O37" i="7"/>
  <c r="BW36" i="7"/>
  <c r="BM36" i="7"/>
  <c r="BC36" i="7"/>
  <c r="AS36" i="7"/>
  <c r="AI36" i="7"/>
  <c r="Y36" i="7"/>
  <c r="O36" i="7"/>
  <c r="BW35" i="7"/>
  <c r="BM35" i="7"/>
  <c r="BC35" i="7"/>
  <c r="AS35" i="7"/>
  <c r="AI35" i="7"/>
  <c r="Y35" i="7"/>
  <c r="O35" i="7"/>
  <c r="BW34" i="7"/>
  <c r="BM34" i="7"/>
  <c r="BC34" i="7"/>
  <c r="AS34" i="7"/>
  <c r="AI34" i="7"/>
  <c r="Y34" i="7"/>
  <c r="BW33" i="7"/>
  <c r="BM33" i="7"/>
  <c r="BC33" i="7"/>
  <c r="AS33" i="7"/>
  <c r="AI33" i="7"/>
  <c r="Y33" i="7"/>
  <c r="O33" i="7"/>
  <c r="BW32" i="7"/>
  <c r="BM32" i="7"/>
  <c r="BC32" i="7"/>
  <c r="AS32" i="7"/>
  <c r="AI32" i="7"/>
  <c r="Y32" i="7"/>
  <c r="O32" i="7"/>
  <c r="BW31" i="7"/>
  <c r="BM31" i="7"/>
  <c r="BC31" i="7"/>
  <c r="AS31" i="7"/>
  <c r="AI31" i="7"/>
  <c r="Y31" i="7"/>
  <c r="O31" i="7"/>
  <c r="BW30" i="7"/>
  <c r="BM30" i="7"/>
  <c r="BC30" i="7"/>
  <c r="AS30" i="7"/>
  <c r="AI30" i="7"/>
  <c r="Y30" i="7"/>
  <c r="O30" i="7"/>
  <c r="BW29" i="7"/>
  <c r="BM29" i="7"/>
  <c r="BC29" i="7"/>
  <c r="AS29" i="7"/>
  <c r="AI29" i="7"/>
  <c r="Y29" i="7"/>
  <c r="O29" i="7"/>
  <c r="BW28" i="7"/>
  <c r="BM28" i="7"/>
  <c r="BC28" i="7"/>
  <c r="AS28" i="7"/>
  <c r="AI28" i="7"/>
  <c r="Y28" i="7"/>
  <c r="O28" i="7"/>
  <c r="BW27" i="7"/>
  <c r="BM27" i="7"/>
  <c r="BC27" i="7"/>
  <c r="AS27" i="7"/>
  <c r="AI27" i="7"/>
  <c r="Y27" i="7"/>
  <c r="O27" i="7"/>
  <c r="BW26" i="7"/>
  <c r="BM26" i="7"/>
  <c r="AS26" i="7"/>
  <c r="AI26" i="7"/>
  <c r="Y26" i="7"/>
  <c r="O26" i="7"/>
  <c r="BW25" i="7"/>
  <c r="AS25" i="7"/>
  <c r="AI25" i="7"/>
  <c r="Y25" i="7"/>
  <c r="O25" i="7"/>
  <c r="AI24" i="7"/>
  <c r="Y24" i="7"/>
  <c r="O24" i="7"/>
  <c r="BM23" i="7"/>
  <c r="BC23" i="7"/>
  <c r="AI23" i="7"/>
  <c r="Y23" i="7"/>
  <c r="O23" i="7"/>
  <c r="BW22" i="7"/>
  <c r="BM22" i="7"/>
  <c r="BC22" i="7"/>
  <c r="AS22" i="7"/>
  <c r="AI22" i="7"/>
  <c r="Y22" i="7"/>
  <c r="O22" i="7"/>
  <c r="BC21" i="7"/>
  <c r="CD21" i="7" s="1"/>
  <c r="Y21" i="7"/>
  <c r="O21" i="7"/>
  <c r="Y20" i="7"/>
  <c r="CD20" i="7" s="1"/>
  <c r="O20" i="7"/>
  <c r="AS19" i="7"/>
  <c r="AI19" i="7"/>
  <c r="Y19" i="7"/>
  <c r="O19" i="7"/>
  <c r="BC18" i="7"/>
  <c r="AS18" i="7"/>
  <c r="Y18" i="7"/>
  <c r="O18" i="7"/>
  <c r="BW17" i="7"/>
  <c r="BC17" i="7"/>
  <c r="Y17" i="7"/>
  <c r="O17" i="7"/>
  <c r="AI16" i="7"/>
  <c r="Y16" i="7"/>
  <c r="O16" i="7"/>
  <c r="BC15" i="7"/>
  <c r="AI15" i="7"/>
  <c r="Y15" i="7"/>
  <c r="O15" i="7"/>
  <c r="AI14" i="7"/>
  <c r="Y14" i="7"/>
  <c r="O14" i="7"/>
  <c r="AI13" i="7"/>
  <c r="CD13" i="7" s="1"/>
  <c r="Y13" i="7"/>
  <c r="O13" i="7"/>
  <c r="BC12" i="7"/>
  <c r="AI12" i="7"/>
  <c r="CD12" i="7" s="1"/>
  <c r="Y12" i="7"/>
  <c r="O12" i="7"/>
  <c r="BM11" i="7"/>
  <c r="AI11" i="7"/>
  <c r="CD11" i="7" s="1"/>
  <c r="Y11" i="7"/>
  <c r="O11" i="7"/>
  <c r="BW10" i="7"/>
  <c r="BM10" i="7"/>
  <c r="BC10" i="7"/>
  <c r="AS10" i="7"/>
  <c r="AI10" i="7"/>
  <c r="Y10" i="7"/>
  <c r="O10" i="7"/>
  <c r="Y9" i="7"/>
  <c r="O9" i="7"/>
  <c r="CD9" i="7" s="1"/>
  <c r="AS8" i="7"/>
  <c r="Y8" i="7"/>
  <c r="O8" i="7"/>
  <c r="AS7" i="7"/>
  <c r="CD7" i="7" s="1"/>
  <c r="Y7" i="7"/>
  <c r="O7" i="7"/>
  <c r="AS6" i="7"/>
  <c r="Y6" i="7"/>
  <c r="CG3" i="7" s="1"/>
  <c r="O6" i="7"/>
  <c r="CD5" i="7"/>
  <c r="AS5" i="7"/>
  <c r="AS4" i="7"/>
  <c r="CD4" i="7" s="1"/>
  <c r="Y4" i="7"/>
  <c r="O4" i="7"/>
  <c r="BW3" i="7"/>
  <c r="AS3" i="7"/>
  <c r="AI3" i="7"/>
  <c r="Y3" i="7"/>
  <c r="O3" i="7"/>
  <c r="BW2" i="7"/>
  <c r="BM2" i="7"/>
  <c r="BC2" i="7"/>
  <c r="AS2" i="7"/>
  <c r="AI2" i="7"/>
  <c r="Y2" i="7"/>
  <c r="O2" i="7"/>
  <c r="CG2" i="7" s="1"/>
  <c r="CH26" i="1" a="1"/>
  <c r="CH21" i="1" a="1"/>
  <c r="CH19" i="1" a="1"/>
  <c r="CI17" i="1" a="1"/>
  <c r="CI21" i="1" a="1"/>
  <c r="CI20" i="1" a="1"/>
  <c r="CH27" i="1" a="1"/>
  <c r="CH20" i="1" a="1"/>
  <c r="CI19" i="1" a="1"/>
  <c r="CI24" i="1" a="1"/>
  <c r="CI26" i="1" a="1"/>
  <c r="CI27" i="1" a="1"/>
  <c r="CH24" i="1" a="1"/>
  <c r="CH17" i="1" a="1"/>
  <c r="CD6" i="7" l="1"/>
  <c r="CD95" i="7"/>
  <c r="CD131" i="7"/>
  <c r="CD59" i="7"/>
  <c r="CD84" i="7"/>
  <c r="CH13" i="7" s="1"/>
  <c r="CD111" i="7"/>
  <c r="CD121" i="7"/>
  <c r="CD129" i="7"/>
  <c r="CD139" i="7"/>
  <c r="CD16" i="7"/>
  <c r="CD55" i="7"/>
  <c r="CD8" i="7"/>
  <c r="CD14" i="7"/>
  <c r="CD24" i="7"/>
  <c r="CD43" i="7"/>
  <c r="CD66" i="7"/>
  <c r="CD82" i="7"/>
  <c r="CD101" i="7"/>
  <c r="CD115" i="7"/>
  <c r="CD138" i="7"/>
  <c r="CG25" i="7" s="1"/>
  <c r="CD140" i="7"/>
  <c r="CD113" i="7"/>
  <c r="CD99" i="7"/>
  <c r="CD108" i="7"/>
  <c r="CG6" i="7"/>
  <c r="CD56" i="7"/>
  <c r="CD64" i="7"/>
  <c r="CD142" i="7"/>
  <c r="CD146" i="7"/>
  <c r="CD128" i="7"/>
  <c r="CD125" i="7"/>
  <c r="CD114" i="7"/>
  <c r="CD87" i="7"/>
  <c r="CD122" i="7"/>
  <c r="CD17" i="7"/>
  <c r="CD98" i="7"/>
  <c r="CD102" i="7"/>
  <c r="CD107" i="7"/>
  <c r="CD105" i="7"/>
  <c r="CD104" i="7"/>
  <c r="CD103" i="7"/>
  <c r="CD92" i="7"/>
  <c r="CD91" i="7"/>
  <c r="CD46" i="7"/>
  <c r="CD45" i="7"/>
  <c r="CD44" i="7"/>
  <c r="CD42" i="7"/>
  <c r="CD41" i="7"/>
  <c r="CD40" i="7"/>
  <c r="CD32" i="7"/>
  <c r="CD31" i="7"/>
  <c r="CG7" i="7"/>
  <c r="CD136" i="7"/>
  <c r="CD86" i="7"/>
  <c r="CI26" i="7" s="1"/>
  <c r="CD85" i="7"/>
  <c r="CD62" i="7"/>
  <c r="CD127" i="7"/>
  <c r="CD124" i="7"/>
  <c r="CD112" i="7"/>
  <c r="CD145" i="7"/>
  <c r="CD144" i="7"/>
  <c r="CD137" i="7"/>
  <c r="CD126" i="7"/>
  <c r="CD118" i="7"/>
  <c r="CD80" i="7"/>
  <c r="CD52" i="7"/>
  <c r="CD51" i="7"/>
  <c r="CD50" i="7"/>
  <c r="CD48" i="7"/>
  <c r="CD47" i="7"/>
  <c r="CD34" i="7"/>
  <c r="CD28" i="7"/>
  <c r="CD23" i="7"/>
  <c r="CD22" i="7"/>
  <c r="CD18" i="7"/>
  <c r="CI18" i="7" s="1"/>
  <c r="CD15" i="7"/>
  <c r="CD109" i="7"/>
  <c r="CD97" i="7"/>
  <c r="CD93" i="7"/>
  <c r="CI22" i="7" s="1"/>
  <c r="CG11" i="7"/>
  <c r="CD119" i="7"/>
  <c r="CD106" i="7"/>
  <c r="CD53" i="7"/>
  <c r="CD49" i="7"/>
  <c r="CD39" i="7"/>
  <c r="CD38" i="7"/>
  <c r="CD37" i="7"/>
  <c r="CD36" i="7"/>
  <c r="CD35" i="7"/>
  <c r="CD33" i="7"/>
  <c r="CD30" i="7"/>
  <c r="CD29" i="7"/>
  <c r="CD27" i="7"/>
  <c r="CD26" i="7"/>
  <c r="CD25" i="7"/>
  <c r="CD19" i="7"/>
  <c r="CI24" i="7" s="1"/>
  <c r="CD3" i="7"/>
  <c r="CD2" i="7"/>
  <c r="CD143" i="7"/>
  <c r="CG5" i="7"/>
  <c r="CD110" i="7"/>
  <c r="CH12" i="7" s="1"/>
  <c r="CD10" i="7"/>
  <c r="CG17" i="7" s="1"/>
  <c r="CI11" i="7"/>
  <c r="CH11" i="7"/>
  <c r="CG4" i="7"/>
  <c r="CI17" i="1"/>
  <c r="CH19" i="1"/>
  <c r="CI21" i="1"/>
  <c r="CH20" i="1"/>
  <c r="CI20" i="1"/>
  <c r="CI24" i="1"/>
  <c r="CH24" i="1"/>
  <c r="CI19" i="1"/>
  <c r="CH27" i="1"/>
  <c r="CH26" i="1"/>
  <c r="CH21" i="1"/>
  <c r="CH17" i="1"/>
  <c r="CI27" i="1"/>
  <c r="CI26" i="1"/>
  <c r="CI19" i="7" a="1"/>
  <c r="CH19" i="7" a="1"/>
  <c r="CI21" i="7" a="1"/>
  <c r="CH25" i="7" a="1"/>
  <c r="CH17" i="7" a="1"/>
  <c r="CI17" i="7" a="1"/>
  <c r="CH28" i="7" a="1"/>
  <c r="CI25" i="7" a="1"/>
  <c r="CH21" i="7" a="1"/>
  <c r="CH20" i="7" a="1"/>
  <c r="CI20" i="7" a="1"/>
  <c r="CH27" i="7" a="1"/>
  <c r="CG13" i="7" l="1"/>
  <c r="CI13" i="7"/>
  <c r="CJ13" i="7" s="1"/>
  <c r="CI14" i="7"/>
  <c r="CH29" i="7"/>
  <c r="CI25" i="7"/>
  <c r="CH25" i="7"/>
  <c r="CH26" i="7"/>
  <c r="CJ26" i="7" s="1"/>
  <c r="CH28" i="7"/>
  <c r="CH22" i="7"/>
  <c r="CJ22" i="7" s="1"/>
  <c r="CG28" i="7"/>
  <c r="CI15" i="7"/>
  <c r="CI29" i="7"/>
  <c r="CJ29" i="7" s="1"/>
  <c r="CG29" i="7"/>
  <c r="CG26" i="7"/>
  <c r="CG22" i="7"/>
  <c r="CG19" i="7"/>
  <c r="CG15" i="7"/>
  <c r="CG21" i="7"/>
  <c r="CH18" i="7"/>
  <c r="CJ18" i="7" s="1"/>
  <c r="CH14" i="7"/>
  <c r="CJ14" i="7" s="1"/>
  <c r="CI19" i="7"/>
  <c r="CH19" i="7"/>
  <c r="CH15" i="7"/>
  <c r="CH21" i="7"/>
  <c r="CI21" i="7"/>
  <c r="CH20" i="7"/>
  <c r="CI20" i="7"/>
  <c r="CH24" i="7"/>
  <c r="CJ24" i="7" s="1"/>
  <c r="CG24" i="7"/>
  <c r="CJ2" i="7"/>
  <c r="CG14" i="7"/>
  <c r="CG27" i="7"/>
  <c r="CH27" i="7"/>
  <c r="CG12" i="7"/>
  <c r="CJ12" i="7"/>
  <c r="CH17" i="7"/>
  <c r="CI17" i="7"/>
  <c r="CJ3" i="7"/>
  <c r="CJ4" i="7" s="1"/>
  <c r="CJ11" i="7"/>
  <c r="CJ21" i="1"/>
  <c r="CJ27" i="1"/>
  <c r="CJ19" i="1"/>
  <c r="CH28" i="1"/>
  <c r="CJ24" i="1"/>
  <c r="CJ20" i="1"/>
  <c r="CI28" i="1"/>
  <c r="CJ17" i="1"/>
  <c r="CJ26" i="1"/>
  <c r="CJ25" i="7" l="1"/>
  <c r="CJ28" i="7"/>
  <c r="CJ15" i="7"/>
  <c r="CJ19" i="7"/>
  <c r="CJ21" i="7"/>
  <c r="CJ20" i="7"/>
  <c r="CJ27" i="7"/>
  <c r="CG30" i="7"/>
  <c r="CJ17" i="7"/>
  <c r="CJ28" i="1"/>
  <c r="CI30" i="7" l="1"/>
  <c r="CH30" i="7"/>
  <c r="CJ30" i="7" l="1"/>
  <c r="CJ16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<sst xmlns="http://schemas.openxmlformats.org/spreadsheetml/2006/main" count="8360" uniqueCount="315">
  <si>
    <t>Site Name</t>
  </si>
  <si>
    <t>Landowner</t>
  </si>
  <si>
    <t>Latitude</t>
  </si>
  <si>
    <t>Longitude</t>
  </si>
  <si>
    <t>Date Installed</t>
  </si>
  <si>
    <t>Date Baited</t>
  </si>
  <si>
    <t>Date Removed</t>
  </si>
  <si>
    <t>Bait</t>
  </si>
  <si>
    <t>Scent</t>
  </si>
  <si>
    <t>Week</t>
  </si>
  <si>
    <t>Check Date</t>
  </si>
  <si>
    <t>Top Samples</t>
  </si>
  <si>
    <t>Bottom Samples</t>
  </si>
  <si>
    <t>Total</t>
  </si>
  <si>
    <t>Bear Visit</t>
  </si>
  <si>
    <t>Bait Gone</t>
  </si>
  <si>
    <t>Other Spp</t>
  </si>
  <si>
    <t>Notes</t>
  </si>
  <si>
    <t>Site Field Name</t>
  </si>
  <si>
    <t>2023 Total</t>
  </si>
  <si>
    <t>Weekly Total:</t>
  </si>
  <si>
    <t>Samples</t>
  </si>
  <si>
    <t>Overall Total:</t>
  </si>
  <si>
    <t>HS 001</t>
  </si>
  <si>
    <t>Cemex</t>
  </si>
  <si>
    <t xml:space="preserve">Corn </t>
  </si>
  <si>
    <t>Raspberry</t>
  </si>
  <si>
    <t>No</t>
  </si>
  <si>
    <t>Likely Hog</t>
  </si>
  <si>
    <t>Checked one day off- storm (within 24hr period)</t>
  </si>
  <si>
    <t>Checked one day off- Cemex reschedule (within 24hr period)</t>
  </si>
  <si>
    <t>One day early, Cemex reschedule</t>
  </si>
  <si>
    <t>One day late, Cemex reschedule</t>
  </si>
  <si>
    <t>Yes</t>
  </si>
  <si>
    <t>Week 1:</t>
  </si>
  <si>
    <t>Number of Samples</t>
  </si>
  <si>
    <t>HS 002</t>
  </si>
  <si>
    <t>Week 2:</t>
  </si>
  <si>
    <t>Number of Snares Hit:</t>
  </si>
  <si>
    <t>HS 003</t>
  </si>
  <si>
    <t>Week 3:</t>
  </si>
  <si>
    <t>Percentage of Snares Hit:</t>
  </si>
  <si>
    <t>HS 004</t>
  </si>
  <si>
    <t>Week 4:</t>
  </si>
  <si>
    <t>HS 005</t>
  </si>
  <si>
    <t>UNK</t>
  </si>
  <si>
    <t>Week 5:</t>
  </si>
  <si>
    <t>HS 006</t>
  </si>
  <si>
    <t>Week 6:</t>
  </si>
  <si>
    <t>HS 007</t>
  </si>
  <si>
    <t>Week 7:</t>
  </si>
  <si>
    <t>HS 008</t>
  </si>
  <si>
    <t>HS 009</t>
  </si>
  <si>
    <t>Fori Corp</t>
  </si>
  <si>
    <t>Landowner Total:</t>
  </si>
  <si>
    <t>Snares</t>
  </si>
  <si>
    <t>Snares Hit</t>
  </si>
  <si>
    <t>Percent Hit</t>
  </si>
  <si>
    <t>HS 010</t>
  </si>
  <si>
    <t>Oaky Woods/Houston Co Landfill</t>
  </si>
  <si>
    <t>Alfred White</t>
  </si>
  <si>
    <t>HS 011</t>
  </si>
  <si>
    <t>Beasley Timber Management</t>
  </si>
  <si>
    <t>HS 012</t>
  </si>
  <si>
    <t>Looks like bear climbed tree and jumped snare</t>
  </si>
  <si>
    <t>Claw marks</t>
  </si>
  <si>
    <t>Brian Osburn</t>
  </si>
  <si>
    <t>HS 013</t>
  </si>
  <si>
    <t>HS 014</t>
  </si>
  <si>
    <t>Earl Barrs</t>
  </si>
  <si>
    <t>HS 015</t>
  </si>
  <si>
    <t>Houston Co Landfill</t>
  </si>
  <si>
    <t>Fitzpatrick</t>
  </si>
  <si>
    <t>HS 016</t>
  </si>
  <si>
    <t>HS 017</t>
  </si>
  <si>
    <t>HS 018</t>
  </si>
  <si>
    <t>Shooting Range</t>
  </si>
  <si>
    <t>deer</t>
  </si>
  <si>
    <t>Chuck Leavell</t>
  </si>
  <si>
    <t>HS 019</t>
  </si>
  <si>
    <t>Larry Garrett/Alfred White</t>
  </si>
  <si>
    <t>Oaky Woods</t>
  </si>
  <si>
    <t>HS 020</t>
  </si>
  <si>
    <t>Hog</t>
  </si>
  <si>
    <t>Ocmulgee</t>
  </si>
  <si>
    <t>HS 021</t>
  </si>
  <si>
    <t>Hog Likely</t>
  </si>
  <si>
    <t>Patrick Patton</t>
  </si>
  <si>
    <t>HS 022</t>
  </si>
  <si>
    <t>HS 023</t>
  </si>
  <si>
    <t>UNK Species</t>
  </si>
  <si>
    <t>Stuckey Timberland</t>
  </si>
  <si>
    <t>HS 024</t>
  </si>
  <si>
    <t>Twiggs 906 LLC</t>
  </si>
  <si>
    <t>HS 025</t>
  </si>
  <si>
    <t>Deer Likely</t>
  </si>
  <si>
    <t>Twin Creeks</t>
  </si>
  <si>
    <t>HS 026</t>
  </si>
  <si>
    <t>Weyerhaeuser</t>
  </si>
  <si>
    <t>HS 027</t>
  </si>
  <si>
    <t>Overall Total</t>
  </si>
  <si>
    <t>HS 028</t>
  </si>
  <si>
    <t>HS 029</t>
  </si>
  <si>
    <t>HS 030</t>
  </si>
  <si>
    <t>HS 031</t>
  </si>
  <si>
    <t>HS 032</t>
  </si>
  <si>
    <t>HS 033</t>
  </si>
  <si>
    <t>HS 034</t>
  </si>
  <si>
    <t>HS 035</t>
  </si>
  <si>
    <t>HS 036</t>
  </si>
  <si>
    <t>Cubs prints nearby</t>
  </si>
  <si>
    <t>HS 037</t>
  </si>
  <si>
    <t>Unk</t>
  </si>
  <si>
    <t>HS 038</t>
  </si>
  <si>
    <t>HS 039</t>
  </si>
  <si>
    <t>HS 040</t>
  </si>
  <si>
    <t>HS 041</t>
  </si>
  <si>
    <t>HS 042</t>
  </si>
  <si>
    <t>HS 043</t>
  </si>
  <si>
    <t>HS 044</t>
  </si>
  <si>
    <t>HS 045</t>
  </si>
  <si>
    <t>HS 046</t>
  </si>
  <si>
    <t>HS 047</t>
  </si>
  <si>
    <t>HS 048</t>
  </si>
  <si>
    <t>HS 049</t>
  </si>
  <si>
    <t>HS 050</t>
  </si>
  <si>
    <t>HS 051</t>
  </si>
  <si>
    <t>HS 052</t>
  </si>
  <si>
    <t>HS 053</t>
  </si>
  <si>
    <t>HS 054</t>
  </si>
  <si>
    <t>HS 055</t>
  </si>
  <si>
    <t>HS 056</t>
  </si>
  <si>
    <t>HS 057</t>
  </si>
  <si>
    <t>HS 058</t>
  </si>
  <si>
    <t>6/20/223</t>
  </si>
  <si>
    <t>HS 059</t>
  </si>
  <si>
    <t>HS 060</t>
  </si>
  <si>
    <t>HS 061</t>
  </si>
  <si>
    <t>HS 062</t>
  </si>
  <si>
    <t>HS 063</t>
  </si>
  <si>
    <t>HS 064</t>
  </si>
  <si>
    <t>HS 065</t>
  </si>
  <si>
    <t>Hog likely</t>
  </si>
  <si>
    <t>Hog hair and bear hair</t>
  </si>
  <si>
    <t>HS 066</t>
  </si>
  <si>
    <t>HS 067</t>
  </si>
  <si>
    <t>HS 068</t>
  </si>
  <si>
    <t>6/102/2023</t>
  </si>
  <si>
    <t>HS 069</t>
  </si>
  <si>
    <t>HS 070</t>
  </si>
  <si>
    <t>HS 071</t>
  </si>
  <si>
    <t>HS 072</t>
  </si>
  <si>
    <t>HS 073</t>
  </si>
  <si>
    <t>HS 074</t>
  </si>
  <si>
    <t>HS 075</t>
  </si>
  <si>
    <t>HS 076</t>
  </si>
  <si>
    <t>HS 077</t>
  </si>
  <si>
    <t>Ocmulgee/Twin Creeks</t>
  </si>
  <si>
    <t>HS 078</t>
  </si>
  <si>
    <t>HS 079</t>
  </si>
  <si>
    <t>HS 080</t>
  </si>
  <si>
    <t>Bird Likely</t>
  </si>
  <si>
    <t>HS 081</t>
  </si>
  <si>
    <t xml:space="preserve">Non-existent </t>
  </si>
  <si>
    <t>HS 082</t>
  </si>
  <si>
    <t>HS 083</t>
  </si>
  <si>
    <t>HS 084</t>
  </si>
  <si>
    <t>HS 085</t>
  </si>
  <si>
    <t>HS 086</t>
  </si>
  <si>
    <t xml:space="preserve">Stuckey </t>
  </si>
  <si>
    <t>HS 087</t>
  </si>
  <si>
    <t>HS 088</t>
  </si>
  <si>
    <t>HS 089</t>
  </si>
  <si>
    <t>Likely hog</t>
  </si>
  <si>
    <t>HS 090</t>
  </si>
  <si>
    <t>HS 091</t>
  </si>
  <si>
    <t>HS 092</t>
  </si>
  <si>
    <t>HS 093</t>
  </si>
  <si>
    <t>Ocmulgee/ Patrick Patton</t>
  </si>
  <si>
    <t>HS 094</t>
  </si>
  <si>
    <t>HS 095</t>
  </si>
  <si>
    <t>HS 096</t>
  </si>
  <si>
    <t>HS 097</t>
  </si>
  <si>
    <t>Ocmulgee/Patrick Patton</t>
  </si>
  <si>
    <t>HS 098</t>
  </si>
  <si>
    <t>HS 099</t>
  </si>
  <si>
    <t>HS 100</t>
  </si>
  <si>
    <t>HS 101</t>
  </si>
  <si>
    <t>HS 102</t>
  </si>
  <si>
    <t>HS 103</t>
  </si>
  <si>
    <t>HS 104</t>
  </si>
  <si>
    <t>HS 105</t>
  </si>
  <si>
    <t>HS 106</t>
  </si>
  <si>
    <t>HS 107</t>
  </si>
  <si>
    <t xml:space="preserve">Fitzpatrick </t>
  </si>
  <si>
    <t>HS 108</t>
  </si>
  <si>
    <t>HS 109</t>
  </si>
  <si>
    <t>HS 110</t>
  </si>
  <si>
    <t xml:space="preserve">Beasley Timber Management </t>
  </si>
  <si>
    <t>HS 111</t>
  </si>
  <si>
    <t>HS 112</t>
  </si>
  <si>
    <t>HS 113</t>
  </si>
  <si>
    <t>HS 114</t>
  </si>
  <si>
    <t>HS 115</t>
  </si>
  <si>
    <t>HS 116</t>
  </si>
  <si>
    <t>Possibly Bird</t>
  </si>
  <si>
    <t>Bag opened, no hair. Possibly a bird</t>
  </si>
  <si>
    <t>HS 117</t>
  </si>
  <si>
    <t xml:space="preserve">Leavell </t>
  </si>
  <si>
    <t>HS 118</t>
  </si>
  <si>
    <t>HS 119</t>
  </si>
  <si>
    <t>NOT CHECKED - RIVER</t>
  </si>
  <si>
    <t>River was too high to check</t>
  </si>
  <si>
    <t>HS 120</t>
  </si>
  <si>
    <t>HS 121</t>
  </si>
  <si>
    <t>HS 122</t>
  </si>
  <si>
    <t>HS 123</t>
  </si>
  <si>
    <t>HS 124</t>
  </si>
  <si>
    <t>HS 125</t>
  </si>
  <si>
    <t>HS 126</t>
  </si>
  <si>
    <t>HS 127</t>
  </si>
  <si>
    <t>Possible Hog Hair</t>
  </si>
  <si>
    <t>HS 128</t>
  </si>
  <si>
    <t>HS 129</t>
  </si>
  <si>
    <t>HS 130</t>
  </si>
  <si>
    <t>HS 131</t>
  </si>
  <si>
    <t>Corn</t>
  </si>
  <si>
    <t>HS 132</t>
  </si>
  <si>
    <t xml:space="preserve">Tree fell on snare on week 7, provided snare-free access to the bait for animals, bait was gone but no hair collected </t>
  </si>
  <si>
    <t xml:space="preserve">HS 133 </t>
  </si>
  <si>
    <t>Leavell</t>
  </si>
  <si>
    <t>Fitzpatrick (Jane)</t>
  </si>
  <si>
    <t>Fitzpatrick (Tarversville LLC)</t>
  </si>
  <si>
    <t>Jeff Reagan (personal)</t>
  </si>
  <si>
    <t>HS 137</t>
  </si>
  <si>
    <t>HS 138</t>
  </si>
  <si>
    <t>HS 140</t>
  </si>
  <si>
    <t>HS 139</t>
  </si>
  <si>
    <t>HS 136</t>
  </si>
  <si>
    <t>HS 135</t>
  </si>
  <si>
    <t>HS 134</t>
  </si>
  <si>
    <t>HS 144</t>
  </si>
  <si>
    <t>HS 141</t>
  </si>
  <si>
    <t>HS 142</t>
  </si>
  <si>
    <t>HS 143</t>
  </si>
  <si>
    <t>HS 145</t>
  </si>
  <si>
    <t>HS 103B</t>
  </si>
  <si>
    <t>HS 095B</t>
  </si>
  <si>
    <t>2024 Total</t>
  </si>
  <si>
    <t>HS 055B</t>
  </si>
  <si>
    <t>no</t>
  </si>
  <si>
    <t>likely deer/other</t>
  </si>
  <si>
    <t>yes</t>
  </si>
  <si>
    <t>hog</t>
  </si>
  <si>
    <t>might not be bear</t>
  </si>
  <si>
    <t>not bear</t>
  </si>
  <si>
    <t>hair is black but it's probably hog</t>
  </si>
  <si>
    <t>racoon</t>
  </si>
  <si>
    <t>deer and hog</t>
  </si>
  <si>
    <t>one sample might not be bear</t>
  </si>
  <si>
    <t>probably hog</t>
  </si>
  <si>
    <t>unk</t>
  </si>
  <si>
    <t xml:space="preserve">hog or bear </t>
  </si>
  <si>
    <t>hog or bear. Deer.</t>
  </si>
  <si>
    <t xml:space="preserve">deer  </t>
  </si>
  <si>
    <t>hog or deer</t>
  </si>
  <si>
    <t xml:space="preserve">deer </t>
  </si>
  <si>
    <t>probably racoon</t>
  </si>
  <si>
    <t>bear or hog</t>
  </si>
  <si>
    <t>some hog</t>
  </si>
  <si>
    <t>maybe hog</t>
  </si>
  <si>
    <t xml:space="preserve">some deer </t>
  </si>
  <si>
    <t>maybe deer</t>
  </si>
  <si>
    <t>checked and re-baited 1 day after schedule; within 24 hour window</t>
  </si>
  <si>
    <t>"human?"</t>
  </si>
  <si>
    <t>Jeff Reagan</t>
  </si>
  <si>
    <t>Twin-Creeks</t>
  </si>
  <si>
    <t>Ocmulgee/Twin-Creeks</t>
  </si>
  <si>
    <t>probably not bear</t>
  </si>
  <si>
    <t>10+</t>
  </si>
  <si>
    <t>6 to 10</t>
  </si>
  <si>
    <t>Week 1</t>
  </si>
  <si>
    <t>Week 2</t>
  </si>
  <si>
    <t>Week 3</t>
  </si>
  <si>
    <t>Week 4</t>
  </si>
  <si>
    <t>Week 5</t>
  </si>
  <si>
    <t>Week 6</t>
  </si>
  <si>
    <t>Week 7</t>
  </si>
  <si>
    <t>raccoon</t>
  </si>
  <si>
    <t>2 samples questionable</t>
  </si>
  <si>
    <t>maybe not bear</t>
  </si>
  <si>
    <t>bear unk</t>
  </si>
  <si>
    <t>one sample has potential contamination as hair fell on pant leg</t>
  </si>
  <si>
    <t>one sample "on bait line"</t>
  </si>
  <si>
    <t>1 sample hog</t>
  </si>
  <si>
    <t>rained during collection</t>
  </si>
  <si>
    <t>CHECKED 1 DAY EARLY</t>
  </si>
  <si>
    <t>1 sample unk</t>
  </si>
  <si>
    <t>double checked - no hair despite bait being gone</t>
  </si>
  <si>
    <t>some unk  samples</t>
  </si>
  <si>
    <t>raccoon, unk</t>
  </si>
  <si>
    <t xml:space="preserve">raccoon </t>
  </si>
  <si>
    <t>2024 Weekly Total:</t>
  </si>
  <si>
    <t>2024 Overall Total:</t>
  </si>
  <si>
    <t>Reimers</t>
  </si>
  <si>
    <t>Top Strand</t>
  </si>
  <si>
    <t>Bottom Strand</t>
  </si>
  <si>
    <t>Total Sites Hit:</t>
  </si>
  <si>
    <t>Total Sites Hit (High Quality):</t>
  </si>
  <si>
    <t>Sites with Subsampling</t>
  </si>
  <si>
    <t>Total Confirmed Bear:</t>
  </si>
  <si>
    <t>High Quality Samples (6+)</t>
  </si>
  <si>
    <t>Subsampling Shipment</t>
  </si>
  <si>
    <t>Subsampling Breakdown (Part 1)</t>
  </si>
  <si>
    <t>Subsampling Breakdown (Part 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</si>
</sst>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444444"/>
      <name val="Calibri"/>
      <family val="2"/>
      <charset val="1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theme="5" tint="0.79998168889431442"/>
        <bgColor indexed="64"/>
      </patternFill>
    </fill>
  </fills>
  <borders count="33">
    <border>
      <left/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auto="1"/>
      </right>
      <top/>
      <bottom/>
      <diagonal/>
    </border>
    <border>
      <left style="thin">
        <color indexed="64"/>
      </left>
      <right style="medium">
        <color auto="1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rgb="FF000000"/>
      </left>
      <right/>
      <top style="thin">
        <color auto="1"/>
      </top>
      <bottom style="medium">
        <color rgb="FF000000"/>
      </bottom>
      <diagonal/>
    </border>
    <border>
      <left/>
      <right style="medium">
        <color rgb="FF000000"/>
      </right>
      <top style="thin">
        <color auto="1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0" fillId="0" borderId="0" xfId="0" applyAlignment="1">
      <alignment horizontal="center"/>
    </xf>
    <xf numFmtId="0" fontId="0" fillId="0" borderId="4" xfId="0" applyBorder="1"/>
    <xf numFmtId="0" fontId="1" fillId="2" borderId="2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0" xfId="0" applyNumberFormat="1"/>
    <xf numFmtId="0" fontId="0" fillId="4" borderId="0" xfId="0" applyFill="1"/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4" xfId="0" applyFill="1" applyBorder="1"/>
    <xf numFmtId="0" fontId="0" fillId="0" borderId="8" xfId="0" applyBorder="1"/>
    <xf numFmtId="0" fontId="0" fillId="0" borderId="8" xfId="0" applyBorder="1" applyAlignment="1">
      <alignment horizontal="center"/>
    </xf>
    <xf numFmtId="164" fontId="0" fillId="0" borderId="0" xfId="0" applyNumberFormat="1"/>
    <xf numFmtId="0" fontId="0" fillId="0" borderId="0" xfId="0" applyAlignment="1">
      <alignment horizontal="right" vertical="center"/>
    </xf>
    <xf numFmtId="0" fontId="0" fillId="0" borderId="0" xfId="0" applyAlignment="1">
      <alignment horizontal="center" wrapText="1"/>
    </xf>
    <xf numFmtId="0" fontId="3" fillId="0" borderId="0" xfId="0" applyFont="1"/>
    <xf numFmtId="0" fontId="1" fillId="3" borderId="9" xfId="0" applyFont="1" applyFill="1" applyBorder="1" applyAlignment="1">
      <alignment horizontal="center" vertical="center"/>
    </xf>
    <xf numFmtId="0" fontId="5" fillId="0" borderId="0" xfId="0" applyFont="1"/>
    <xf numFmtId="2" fontId="1" fillId="3" borderId="9" xfId="0" applyNumberFormat="1" applyFont="1" applyFill="1" applyBorder="1" applyAlignment="1">
      <alignment horizontal="center" vertical="center"/>
    </xf>
    <xf numFmtId="0" fontId="0" fillId="5" borderId="10" xfId="0" applyFill="1" applyBorder="1"/>
    <xf numFmtId="0" fontId="0" fillId="5" borderId="10" xfId="0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5" borderId="11" xfId="0" applyFill="1" applyBorder="1"/>
    <xf numFmtId="0" fontId="0" fillId="5" borderId="12" xfId="0" applyFill="1" applyBorder="1" applyAlignment="1">
      <alignment horizontal="center"/>
    </xf>
    <xf numFmtId="0" fontId="0" fillId="5" borderId="13" xfId="0" applyFill="1" applyBorder="1" applyAlignment="1">
      <alignment horizontal="center"/>
    </xf>
    <xf numFmtId="0" fontId="0" fillId="5" borderId="14" xfId="0" applyFill="1" applyBorder="1" applyAlignment="1">
      <alignment horizontal="center"/>
    </xf>
    <xf numFmtId="0" fontId="4" fillId="5" borderId="8" xfId="0" applyFont="1" applyFill="1" applyBorder="1" applyAlignment="1">
      <alignment horizontal="center"/>
    </xf>
    <xf numFmtId="0" fontId="0" fillId="5" borderId="13" xfId="0" applyFill="1" applyBorder="1"/>
    <xf numFmtId="0" fontId="4" fillId="5" borderId="13" xfId="0" applyFont="1" applyFill="1" applyBorder="1"/>
    <xf numFmtId="0" fontId="0" fillId="5" borderId="14" xfId="0" applyFill="1" applyBorder="1"/>
    <xf numFmtId="0" fontId="0" fillId="4" borderId="13" xfId="0" applyFill="1" applyBorder="1"/>
    <xf numFmtId="0" fontId="0" fillId="4" borderId="8" xfId="0" applyFill="1" applyBorder="1" applyAlignment="1">
      <alignment horizontal="center"/>
    </xf>
    <xf numFmtId="2" fontId="0" fillId="5" borderId="13" xfId="0" applyNumberFormat="1" applyFill="1" applyBorder="1" applyAlignment="1">
      <alignment horizontal="center"/>
    </xf>
    <xf numFmtId="0" fontId="1" fillId="5" borderId="14" xfId="0" applyFont="1" applyFill="1" applyBorder="1" applyAlignment="1">
      <alignment horizontal="center"/>
    </xf>
    <xf numFmtId="0" fontId="1" fillId="5" borderId="14" xfId="0" applyFont="1" applyFill="1" applyBorder="1" applyAlignment="1">
      <alignment horizontal="left"/>
    </xf>
    <xf numFmtId="0" fontId="1" fillId="3" borderId="19" xfId="0" applyFont="1" applyFill="1" applyBorder="1" applyAlignment="1">
      <alignment horizontal="center" vertical="center"/>
    </xf>
    <xf numFmtId="0" fontId="0" fillId="3" borderId="17" xfId="0" applyFill="1" applyBorder="1"/>
    <xf numFmtId="0" fontId="1" fillId="5" borderId="15" xfId="0" applyFont="1" applyFill="1" applyBorder="1" applyAlignment="1">
      <alignment horizontal="left"/>
    </xf>
    <xf numFmtId="0" fontId="1" fillId="5" borderId="20" xfId="0" applyFont="1" applyFill="1" applyBorder="1" applyAlignment="1">
      <alignment horizontal="left"/>
    </xf>
    <xf numFmtId="0" fontId="6" fillId="5" borderId="16" xfId="0" applyFont="1" applyFill="1" applyBorder="1" applyAlignment="1">
      <alignment horizontal="center"/>
    </xf>
    <xf numFmtId="2" fontId="1" fillId="5" borderId="18" xfId="0" applyNumberFormat="1" applyFont="1" applyFill="1" applyBorder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/>
    <xf numFmtId="0" fontId="4" fillId="6" borderId="0" xfId="0" applyFont="1" applyFill="1"/>
    <xf numFmtId="0" fontId="7" fillId="0" borderId="0" xfId="0" applyFont="1"/>
    <xf numFmtId="0" fontId="7" fillId="0" borderId="0" xfId="0" applyFont="1" applyAlignment="1">
      <alignment horizontal="center"/>
    </xf>
    <xf numFmtId="14" fontId="7" fillId="0" borderId="0" xfId="0" applyNumberFormat="1" applyFont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21" xfId="0" applyBorder="1" applyAlignment="1">
      <alignment horizontal="left"/>
    </xf>
    <xf numFmtId="14" fontId="1" fillId="2" borderId="2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left"/>
    </xf>
    <xf numFmtId="14" fontId="0" fillId="0" borderId="2" xfId="0" applyNumberFormat="1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7" xfId="0" applyBorder="1" applyAlignment="1">
      <alignment horizontal="left"/>
    </xf>
    <xf numFmtId="0" fontId="0" fillId="0" borderId="3" xfId="0" applyBorder="1" applyAlignment="1">
      <alignment horizontal="left"/>
    </xf>
    <xf numFmtId="14" fontId="1" fillId="2" borderId="2" xfId="0" applyNumberFormat="1" applyFont="1" applyFill="1" applyBorder="1" applyAlignment="1">
      <alignment horizontal="center"/>
    </xf>
    <xf numFmtId="1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left"/>
    </xf>
    <xf numFmtId="164" fontId="0" fillId="0" borderId="2" xfId="0" applyNumberFormat="1" applyBorder="1" applyAlignment="1">
      <alignment horizontal="left"/>
    </xf>
    <xf numFmtId="14" fontId="0" fillId="0" borderId="0" xfId="0" applyNumberFormat="1" applyAlignment="1">
      <alignment horizontal="center"/>
    </xf>
    <xf numFmtId="14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left" vertical="center"/>
    </xf>
    <xf numFmtId="0" fontId="0" fillId="5" borderId="22" xfId="0" applyFill="1" applyBorder="1"/>
    <xf numFmtId="0" fontId="0" fillId="5" borderId="22" xfId="0" applyFill="1" applyBorder="1" applyAlignment="1">
      <alignment horizontal="center"/>
    </xf>
    <xf numFmtId="0" fontId="0" fillId="5" borderId="23" xfId="0" applyFill="1" applyBorder="1"/>
    <xf numFmtId="0" fontId="0" fillId="5" borderId="23" xfId="0" applyFill="1" applyBorder="1" applyAlignment="1">
      <alignment horizontal="center"/>
    </xf>
    <xf numFmtId="0" fontId="4" fillId="5" borderId="23" xfId="0" applyFont="1" applyFill="1" applyBorder="1"/>
    <xf numFmtId="0" fontId="4" fillId="5" borderId="23" xfId="0" applyFont="1" applyFill="1" applyBorder="1" applyAlignment="1">
      <alignment horizontal="center"/>
    </xf>
    <xf numFmtId="0" fontId="0" fillId="5" borderId="24" xfId="0" applyFill="1" applyBorder="1"/>
    <xf numFmtId="0" fontId="0" fillId="5" borderId="24" xfId="0" applyFill="1" applyBorder="1" applyAlignment="1">
      <alignment horizontal="center"/>
    </xf>
    <xf numFmtId="0" fontId="8" fillId="5" borderId="10" xfId="0" applyFont="1" applyFill="1" applyBorder="1" applyAlignment="1">
      <alignment horizontal="center"/>
    </xf>
    <xf numFmtId="0" fontId="1" fillId="3" borderId="25" xfId="0" applyFont="1" applyFill="1" applyBorder="1" applyAlignment="1">
      <alignment horizontal="center"/>
    </xf>
    <xf numFmtId="0" fontId="1" fillId="3" borderId="26" xfId="0" applyFont="1" applyFill="1" applyBorder="1" applyAlignment="1">
      <alignment horizontal="center" vertical="center"/>
    </xf>
    <xf numFmtId="0" fontId="1" fillId="3" borderId="27" xfId="0" applyFont="1" applyFill="1" applyBorder="1" applyAlignment="1">
      <alignment horizontal="center" vertical="center"/>
    </xf>
    <xf numFmtId="0" fontId="0" fillId="7" borderId="0" xfId="0" applyFill="1" applyAlignment="1">
      <alignment horizontal="left"/>
    </xf>
    <xf numFmtId="164" fontId="0" fillId="7" borderId="0" xfId="0" applyNumberFormat="1" applyFill="1" applyAlignment="1">
      <alignment horizontal="left"/>
    </xf>
    <xf numFmtId="14" fontId="0" fillId="7" borderId="0" xfId="0" applyNumberFormat="1" applyFill="1" applyAlignment="1">
      <alignment horizontal="center"/>
    </xf>
    <xf numFmtId="14" fontId="0" fillId="7" borderId="0" xfId="0" applyNumberFormat="1" applyFill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21" xfId="0" applyFill="1" applyBorder="1" applyAlignment="1">
      <alignment horizontal="left"/>
    </xf>
    <xf numFmtId="0" fontId="0" fillId="7" borderId="0" xfId="0" applyFill="1" applyAlignment="1">
      <alignment horizontal="center" vertical="center"/>
    </xf>
    <xf numFmtId="14" fontId="0" fillId="7" borderId="0" xfId="0" applyNumberFormat="1" applyFill="1" applyAlignment="1">
      <alignment horizontal="left"/>
    </xf>
    <xf numFmtId="0" fontId="0" fillId="7" borderId="0" xfId="0" applyFill="1" applyAlignment="1">
      <alignment horizontal="left" vertical="center"/>
    </xf>
    <xf numFmtId="0" fontId="0" fillId="7" borderId="4" xfId="0" applyFill="1" applyBorder="1" applyAlignment="1">
      <alignment horizontal="left"/>
    </xf>
    <xf numFmtId="14" fontId="0" fillId="7" borderId="0" xfId="0" applyNumberFormat="1" applyFill="1"/>
    <xf numFmtId="0" fontId="0" fillId="7" borderId="23" xfId="0" applyFill="1" applyBorder="1"/>
    <xf numFmtId="0" fontId="0" fillId="7" borderId="23" xfId="0" applyFill="1" applyBorder="1" applyAlignment="1">
      <alignment horizontal="center"/>
    </xf>
    <xf numFmtId="0" fontId="4" fillId="7" borderId="23" xfId="0" applyFont="1" applyFill="1" applyBorder="1"/>
    <xf numFmtId="0" fontId="4" fillId="7" borderId="23" xfId="0" applyFont="1" applyFill="1" applyBorder="1" applyAlignment="1">
      <alignment horizontal="center"/>
    </xf>
    <xf numFmtId="0" fontId="1" fillId="0" borderId="0" xfId="0" applyFont="1"/>
    <xf numFmtId="0" fontId="0" fillId="5" borderId="30" xfId="0" applyFill="1" applyBorder="1"/>
    <xf numFmtId="0" fontId="0" fillId="5" borderId="21" xfId="0" applyFill="1" applyBorder="1"/>
    <xf numFmtId="0" fontId="0" fillId="5" borderId="7" xfId="0" applyFill="1" applyBorder="1"/>
    <xf numFmtId="0" fontId="0" fillId="5" borderId="30" xfId="0" applyFill="1" applyBorder="1" applyAlignment="1">
      <alignment horizontal="center"/>
    </xf>
    <xf numFmtId="0" fontId="0" fillId="5" borderId="21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32" xfId="0" applyFill="1" applyBorder="1" applyAlignment="1">
      <alignment horizontal="center"/>
    </xf>
    <xf numFmtId="0" fontId="0" fillId="5" borderId="31" xfId="0" applyFill="1" applyBorder="1" applyAlignment="1">
      <alignment horizontal="center"/>
    </xf>
    <xf numFmtId="0" fontId="0" fillId="5" borderId="32" xfId="0" applyFill="1" applyBorder="1"/>
    <xf numFmtId="0" fontId="7" fillId="5" borderId="23" xfId="0" applyFont="1" applyFill="1" applyBorder="1" applyAlignment="1">
      <alignment horizontal="center"/>
    </xf>
    <xf numFmtId="0" fontId="7" fillId="5" borderId="24" xfId="0" applyFont="1" applyFill="1" applyBorder="1" applyAlignment="1">
      <alignment horizontal="center"/>
    </xf>
    <xf numFmtId="0" fontId="1" fillId="3" borderId="28" xfId="0" applyFont="1" applyFill="1" applyBorder="1" applyAlignment="1">
      <alignment horizontal="center" vertical="center"/>
    </xf>
    <xf numFmtId="0" fontId="1" fillId="3" borderId="29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0" fillId="0" borderId="0" xfId="0" applyFill="1"/>
    <xf numFmtId="14" fontId="0" fillId="0" borderId="0" xfId="0" applyNumberFormat="1" applyFill="1"/>
    <xf numFmtId="164" fontId="0" fillId="0" borderId="0" xfId="0" applyNumberFormat="1" applyAlignment="1">
      <alignment horizontal="right"/>
    </xf>
  </cellXfs>
  <cellStyles count="1">
    <cellStyle name="Normal" xfId="0" builtinId="0"/>
  </cellStyles>
  <dxfs count="8"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</dxfs>
  <tableStyles count="0" defaultTableStyle="TableStyleMedium2" defaultPivotStyle="PivotStyleLight16"/>
  <colors>
    <mruColors>
      <color rgb="FFFFCCCC"/>
      <color rgb="FFCCFFFF"/>
      <color rgb="FFFF97B0"/>
      <color rgb="FFEAEAEA"/>
      <color rgb="FFCCFFCC"/>
      <color rgb="FFFFCCFF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B9F87-31E4-45AB-BF53-D4004D09FA1E}">
  <dimension ref="A1:CJ134"/>
  <sheetViews>
    <sheetView tabSelected="1" workbookViewId="0">
      <pane ySplit="1" topLeftCell="A8" activePane="bottomLeft" state="frozen"/>
      <selection pane="bottomLeft" activeCell="F28" sqref="F28"/>
    </sheetView>
  </sheetViews>
  <sheetFormatPr defaultRowHeight="15" customHeight="1" x14ac:dyDescent="0.3"/>
  <cols>
    <col min="1" max="1" width="9.5546875" bestFit="1" customWidth="1"/>
    <col min="2" max="2" width="28.44140625" bestFit="1" customWidth="1"/>
    <col min="3" max="3" width="9" bestFit="1" customWidth="1"/>
    <col min="4" max="4" width="11" bestFit="1" customWidth="1"/>
    <col min="5" max="5" width="12.44140625" bestFit="1" customWidth="1"/>
    <col min="6" max="6" width="10.6640625" bestFit="1" customWidth="1"/>
    <col min="7" max="7" width="13.44140625" style="6" bestFit="1" customWidth="1"/>
    <col min="8" max="8" width="10.44140625" bestFit="1" customWidth="1"/>
    <col min="9" max="9" width="11.6640625" bestFit="1" customWidth="1"/>
    <col min="10" max="10" width="11.6640625" customWidth="1"/>
    <col min="11" max="11" width="5.6640625" style="1" bestFit="1" customWidth="1"/>
    <col min="12" max="12" width="10.44140625" bestFit="1" customWidth="1"/>
    <col min="13" max="13" width="11.6640625" bestFit="1" customWidth="1"/>
    <col min="14" max="14" width="14.88671875" bestFit="1" customWidth="1"/>
    <col min="15" max="15" width="9.44140625" bestFit="1" customWidth="1"/>
    <col min="16" max="16" width="14" bestFit="1" customWidth="1"/>
    <col min="17" max="17" width="8.88671875" style="6"/>
    <col min="18" max="18" width="12.109375" style="6" bestFit="1" customWidth="1"/>
    <col min="19" max="19" width="40.6640625" bestFit="1" customWidth="1"/>
    <col min="20" max="20" width="13.5546875" bestFit="1" customWidth="1"/>
    <col min="21" max="21" width="5.6640625" style="1" bestFit="1" customWidth="1"/>
    <col min="22" max="22" width="10.44140625" bestFit="1" customWidth="1"/>
    <col min="23" max="23" width="11.6640625" bestFit="1" customWidth="1"/>
    <col min="24" max="24" width="14.88671875" bestFit="1" customWidth="1"/>
    <col min="25" max="25" width="9.44140625" bestFit="1" customWidth="1"/>
    <col min="26" max="26" width="14" bestFit="1" customWidth="1"/>
    <col min="27" max="27" width="8.88671875" style="6"/>
    <col min="28" max="28" width="10.44140625" bestFit="1" customWidth="1"/>
    <col min="29" max="29" width="51" style="2" bestFit="1" customWidth="1"/>
    <col min="30" max="30" width="13.5546875" bestFit="1" customWidth="1"/>
    <col min="31" max="31" width="5.6640625" style="1" bestFit="1" customWidth="1"/>
    <col min="32" max="32" width="10.44140625" bestFit="1" customWidth="1"/>
    <col min="33" max="33" width="11.6640625" bestFit="1" customWidth="1"/>
    <col min="34" max="34" width="14.88671875" bestFit="1" customWidth="1"/>
    <col min="35" max="35" width="9.44140625" bestFit="1" customWidth="1"/>
    <col min="36" max="36" width="14" bestFit="1" customWidth="1"/>
    <col min="37" max="37" width="9.109375" style="6" bestFit="1" customWidth="1"/>
    <col min="38" max="38" width="9.44140625" bestFit="1" customWidth="1"/>
    <col min="39" max="39" width="6.44140625" style="2" bestFit="1" customWidth="1"/>
    <col min="40" max="40" width="9.5546875" bestFit="1" customWidth="1"/>
    <col min="41" max="41" width="5.6640625" style="1" bestFit="1" customWidth="1"/>
    <col min="42" max="42" width="10.44140625" bestFit="1" customWidth="1"/>
    <col min="43" max="43" width="11.6640625" bestFit="1" customWidth="1"/>
    <col min="44" max="44" width="14.88671875" bestFit="1" customWidth="1"/>
    <col min="45" max="45" width="9.44140625" bestFit="1" customWidth="1"/>
    <col min="46" max="46" width="14" bestFit="1" customWidth="1"/>
    <col min="47" max="47" width="8.88671875" style="6" customWidth="1"/>
    <col min="48" max="48" width="9.44140625" bestFit="1" customWidth="1"/>
    <col min="49" max="49" width="39.21875" style="2" bestFit="1" customWidth="1"/>
    <col min="50" max="50" width="9.5546875" bestFit="1" customWidth="1"/>
    <col min="51" max="51" width="5.6640625" style="1" bestFit="1" customWidth="1"/>
    <col min="52" max="52" width="10.44140625" bestFit="1" customWidth="1"/>
    <col min="53" max="53" width="11.6640625" bestFit="1" customWidth="1"/>
    <col min="54" max="54" width="14.88671875" bestFit="1" customWidth="1"/>
    <col min="55" max="55" width="9.44140625" bestFit="1" customWidth="1"/>
    <col min="56" max="56" width="14" bestFit="1" customWidth="1"/>
    <col min="57" max="57" width="9.109375" style="6" customWidth="1"/>
    <col min="58" max="58" width="9.44140625" bestFit="1" customWidth="1"/>
    <col min="59" max="59" width="28.21875" style="2" bestFit="1" customWidth="1"/>
    <col min="60" max="60" width="9.5546875" bestFit="1" customWidth="1"/>
    <col min="61" max="61" width="5.6640625" style="1" bestFit="1" customWidth="1"/>
    <col min="62" max="62" width="10.44140625" bestFit="1" customWidth="1"/>
    <col min="63" max="63" width="11.6640625" bestFit="1" customWidth="1"/>
    <col min="64" max="64" width="14.88671875" bestFit="1" customWidth="1"/>
    <col min="65" max="65" width="9.44140625" bestFit="1" customWidth="1"/>
    <col min="66" max="66" width="14" bestFit="1" customWidth="1"/>
    <col min="67" max="67" width="9.109375" style="6" bestFit="1" customWidth="1"/>
    <col min="68" max="68" width="9.44140625" bestFit="1" customWidth="1"/>
    <col min="69" max="69" width="27.33203125" style="2" bestFit="1" customWidth="1"/>
    <col min="70" max="70" width="9.5546875" bestFit="1" customWidth="1"/>
    <col min="71" max="71" width="5.6640625" style="1" bestFit="1" customWidth="1"/>
    <col min="72" max="72" width="10.44140625" bestFit="1" customWidth="1"/>
    <col min="73" max="73" width="11.6640625" bestFit="1" customWidth="1"/>
    <col min="74" max="74" width="14.88671875" bestFit="1" customWidth="1"/>
    <col min="75" max="75" width="9.44140625" bestFit="1" customWidth="1"/>
    <col min="76" max="76" width="8.6640625" bestFit="1" customWidth="1"/>
    <col min="77" max="77" width="9.109375" bestFit="1" customWidth="1"/>
    <col min="78" max="78" width="9.44140625" bestFit="1" customWidth="1"/>
    <col min="79" max="79" width="97" style="2" bestFit="1" customWidth="1"/>
    <col min="80" max="80" width="10.44140625" customWidth="1"/>
    <col min="81" max="81" width="14" bestFit="1" customWidth="1"/>
    <col min="82" max="82" width="9.6640625" style="1" bestFit="1" customWidth="1"/>
    <col min="84" max="84" width="25.88671875" customWidth="1"/>
    <col min="86" max="86" width="7" bestFit="1" customWidth="1"/>
    <col min="87" max="87" width="23.5546875" bestFit="1" customWidth="1"/>
    <col min="88" max="88" width="11.109375" bestFit="1" customWidth="1"/>
  </cols>
  <sheetData>
    <row r="1" spans="1:88" thickBo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11" t="s">
        <v>8</v>
      </c>
      <c r="J1" s="3" t="s">
        <v>0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7" t="s">
        <v>16</v>
      </c>
      <c r="S1" s="8" t="s">
        <v>17</v>
      </c>
      <c r="T1" s="3" t="s">
        <v>0</v>
      </c>
      <c r="U1" s="4" t="s">
        <v>9</v>
      </c>
      <c r="V1" s="4" t="s">
        <v>10</v>
      </c>
      <c r="W1" s="4" t="s">
        <v>11</v>
      </c>
      <c r="X1" s="4" t="s">
        <v>12</v>
      </c>
      <c r="Y1" s="4" t="s">
        <v>13</v>
      </c>
      <c r="Z1" s="4" t="s">
        <v>14</v>
      </c>
      <c r="AA1" s="4" t="s">
        <v>15</v>
      </c>
      <c r="AB1" s="4" t="s">
        <v>16</v>
      </c>
      <c r="AC1" s="5" t="s">
        <v>17</v>
      </c>
      <c r="AD1" s="3" t="s">
        <v>0</v>
      </c>
      <c r="AE1" s="4" t="s">
        <v>9</v>
      </c>
      <c r="AF1" s="4" t="s">
        <v>10</v>
      </c>
      <c r="AG1" s="4" t="s">
        <v>11</v>
      </c>
      <c r="AH1" s="4" t="s">
        <v>12</v>
      </c>
      <c r="AI1" s="4" t="s">
        <v>13</v>
      </c>
      <c r="AJ1" s="4" t="s">
        <v>14</v>
      </c>
      <c r="AK1" s="4" t="s">
        <v>15</v>
      </c>
      <c r="AL1" s="4" t="s">
        <v>16</v>
      </c>
      <c r="AM1" s="5" t="s">
        <v>17</v>
      </c>
      <c r="AN1" s="3" t="s">
        <v>0</v>
      </c>
      <c r="AO1" s="4" t="s">
        <v>9</v>
      </c>
      <c r="AP1" s="4" t="s">
        <v>10</v>
      </c>
      <c r="AQ1" s="4" t="s">
        <v>11</v>
      </c>
      <c r="AR1" s="4" t="s">
        <v>12</v>
      </c>
      <c r="AS1" s="4" t="s">
        <v>13</v>
      </c>
      <c r="AT1" s="4" t="s">
        <v>14</v>
      </c>
      <c r="AU1" s="4" t="s">
        <v>15</v>
      </c>
      <c r="AV1" s="4" t="s">
        <v>16</v>
      </c>
      <c r="AW1" s="5" t="s">
        <v>17</v>
      </c>
      <c r="AX1" s="3" t="s">
        <v>0</v>
      </c>
      <c r="AY1" s="4" t="s">
        <v>9</v>
      </c>
      <c r="AZ1" s="4" t="s">
        <v>10</v>
      </c>
      <c r="BA1" s="4" t="s">
        <v>11</v>
      </c>
      <c r="BB1" s="4" t="s">
        <v>12</v>
      </c>
      <c r="BC1" s="4" t="s">
        <v>13</v>
      </c>
      <c r="BD1" s="4" t="s">
        <v>14</v>
      </c>
      <c r="BE1" s="4" t="s">
        <v>15</v>
      </c>
      <c r="BF1" s="4" t="s">
        <v>16</v>
      </c>
      <c r="BG1" s="5" t="s">
        <v>17</v>
      </c>
      <c r="BH1" s="3" t="s">
        <v>0</v>
      </c>
      <c r="BI1" s="4" t="s">
        <v>9</v>
      </c>
      <c r="BJ1" s="4" t="s">
        <v>10</v>
      </c>
      <c r="BK1" s="4" t="s">
        <v>11</v>
      </c>
      <c r="BL1" s="4" t="s">
        <v>12</v>
      </c>
      <c r="BM1" s="4" t="s">
        <v>13</v>
      </c>
      <c r="BN1" s="4" t="s">
        <v>14</v>
      </c>
      <c r="BO1" s="4" t="s">
        <v>15</v>
      </c>
      <c r="BP1" s="4" t="s">
        <v>16</v>
      </c>
      <c r="BQ1" s="5" t="s">
        <v>17</v>
      </c>
      <c r="BR1" s="3" t="s">
        <v>0</v>
      </c>
      <c r="BS1" s="4" t="s">
        <v>9</v>
      </c>
      <c r="BT1" s="4" t="s">
        <v>10</v>
      </c>
      <c r="BU1" s="4" t="s">
        <v>11</v>
      </c>
      <c r="BV1" s="4" t="s">
        <v>12</v>
      </c>
      <c r="BW1" s="4" t="s">
        <v>13</v>
      </c>
      <c r="BX1" s="4" t="s">
        <v>14</v>
      </c>
      <c r="BY1" s="4" t="s">
        <v>15</v>
      </c>
      <c r="BZ1" s="4" t="s">
        <v>16</v>
      </c>
      <c r="CA1" s="5" t="s">
        <v>17</v>
      </c>
      <c r="CC1" s="10" t="s">
        <v>18</v>
      </c>
      <c r="CD1" s="9" t="s">
        <v>19</v>
      </c>
      <c r="CF1" s="25" t="s">
        <v>20</v>
      </c>
      <c r="CG1" s="25" t="s">
        <v>21</v>
      </c>
      <c r="CI1" s="44" t="s">
        <v>22</v>
      </c>
      <c r="CJ1" s="45"/>
    </row>
    <row r="2" spans="1:88" thickBot="1" x14ac:dyDescent="0.35">
      <c r="A2" t="s">
        <v>23</v>
      </c>
      <c r="B2" t="s">
        <v>24</v>
      </c>
      <c r="C2">
        <v>32.388159999999999</v>
      </c>
      <c r="D2">
        <v>-83.676869999999994</v>
      </c>
      <c r="E2" s="13">
        <v>45077</v>
      </c>
      <c r="F2" s="13">
        <v>45085</v>
      </c>
      <c r="H2" s="1" t="s">
        <v>25</v>
      </c>
      <c r="I2" s="12" t="s">
        <v>26</v>
      </c>
      <c r="J2" t="s">
        <v>23</v>
      </c>
      <c r="K2" s="6">
        <v>1</v>
      </c>
      <c r="L2" s="13">
        <v>45093</v>
      </c>
      <c r="M2">
        <v>0</v>
      </c>
      <c r="N2">
        <v>2</v>
      </c>
      <c r="O2">
        <v>2</v>
      </c>
      <c r="P2" t="s">
        <v>27</v>
      </c>
      <c r="Q2" s="6" t="s">
        <v>27</v>
      </c>
      <c r="R2" s="6" t="s">
        <v>28</v>
      </c>
      <c r="S2" s="2" t="s">
        <v>29</v>
      </c>
      <c r="T2" t="s">
        <v>23</v>
      </c>
      <c r="U2" s="6">
        <v>2</v>
      </c>
      <c r="V2" s="13">
        <v>45100</v>
      </c>
      <c r="W2">
        <v>0</v>
      </c>
      <c r="X2">
        <v>0</v>
      </c>
      <c r="Y2">
        <v>0</v>
      </c>
      <c r="Z2" t="s">
        <v>27</v>
      </c>
      <c r="AA2" s="6" t="s">
        <v>27</v>
      </c>
      <c r="AB2" t="s">
        <v>27</v>
      </c>
      <c r="AC2" s="2" t="s">
        <v>30</v>
      </c>
      <c r="AD2" t="s">
        <v>23</v>
      </c>
      <c r="AE2" s="1">
        <v>3</v>
      </c>
      <c r="AF2" s="13">
        <v>45106</v>
      </c>
      <c r="AG2">
        <v>0</v>
      </c>
      <c r="AH2">
        <v>0</v>
      </c>
      <c r="AI2">
        <v>0</v>
      </c>
      <c r="AJ2" t="s">
        <v>27</v>
      </c>
      <c r="AK2" s="6" t="s">
        <v>27</v>
      </c>
      <c r="AL2" t="s">
        <v>27</v>
      </c>
      <c r="AN2" t="s">
        <v>23</v>
      </c>
      <c r="AO2" s="1">
        <v>4</v>
      </c>
      <c r="AP2" s="13">
        <v>45113</v>
      </c>
      <c r="AQ2">
        <v>0</v>
      </c>
      <c r="AR2">
        <v>0</v>
      </c>
      <c r="AS2">
        <v>0</v>
      </c>
      <c r="AT2" t="s">
        <v>27</v>
      </c>
      <c r="AU2" s="6" t="s">
        <v>27</v>
      </c>
      <c r="AV2" t="s">
        <v>27</v>
      </c>
      <c r="AX2" t="s">
        <v>23</v>
      </c>
      <c r="AY2" s="1">
        <v>5</v>
      </c>
      <c r="AZ2" s="13">
        <v>45119</v>
      </c>
      <c r="BA2">
        <v>0</v>
      </c>
      <c r="BB2">
        <v>0</v>
      </c>
      <c r="BC2">
        <v>0</v>
      </c>
      <c r="BD2" t="s">
        <v>27</v>
      </c>
      <c r="BE2" s="6" t="s">
        <v>27</v>
      </c>
      <c r="BF2" t="s">
        <v>27</v>
      </c>
      <c r="BG2" s="2" t="s">
        <v>31</v>
      </c>
      <c r="BH2" t="s">
        <v>23</v>
      </c>
      <c r="BI2" s="1">
        <v>6</v>
      </c>
      <c r="BJ2" s="13">
        <v>45128</v>
      </c>
      <c r="BK2">
        <v>0</v>
      </c>
      <c r="BL2">
        <v>0</v>
      </c>
      <c r="BM2">
        <v>0</v>
      </c>
      <c r="BN2" t="s">
        <v>27</v>
      </c>
      <c r="BO2" s="6" t="s">
        <v>27</v>
      </c>
      <c r="BP2" t="s">
        <v>27</v>
      </c>
      <c r="BQ2" s="2" t="s">
        <v>32</v>
      </c>
      <c r="BR2" t="s">
        <v>23</v>
      </c>
      <c r="BS2" s="1">
        <v>7</v>
      </c>
      <c r="BT2" s="13">
        <v>45135</v>
      </c>
      <c r="BU2">
        <v>3</v>
      </c>
      <c r="BV2">
        <v>2</v>
      </c>
      <c r="BW2">
        <v>5</v>
      </c>
      <c r="BX2" s="51" t="s">
        <v>33</v>
      </c>
      <c r="BY2" s="51" t="s">
        <v>33</v>
      </c>
      <c r="BZ2" s="51" t="s">
        <v>27</v>
      </c>
      <c r="CC2" s="36" t="s">
        <v>23</v>
      </c>
      <c r="CD2" s="30">
        <f>SUM(O2+Y2+AI2+AS2+BC2+BM2+BW2)</f>
        <v>7</v>
      </c>
      <c r="CF2" s="28" t="s">
        <v>34</v>
      </c>
      <c r="CG2" s="33">
        <f>SUM(O2:O134)</f>
        <v>60</v>
      </c>
      <c r="CI2" s="43" t="s">
        <v>35</v>
      </c>
      <c r="CJ2" s="42">
        <f>SUM(CD2:CD134)</f>
        <v>1462</v>
      </c>
    </row>
    <row r="3" spans="1:88" thickBot="1" x14ac:dyDescent="0.35">
      <c r="A3" t="s">
        <v>36</v>
      </c>
      <c r="B3" t="s">
        <v>24</v>
      </c>
      <c r="C3">
        <v>32.393880000000003</v>
      </c>
      <c r="D3">
        <v>-83.595979999999997</v>
      </c>
      <c r="E3" s="13">
        <v>45077</v>
      </c>
      <c r="F3" s="13">
        <v>45085</v>
      </c>
      <c r="H3" s="1" t="s">
        <v>25</v>
      </c>
      <c r="I3" s="12" t="s">
        <v>26</v>
      </c>
      <c r="J3" t="s">
        <v>36</v>
      </c>
      <c r="K3" s="6">
        <v>1</v>
      </c>
      <c r="L3" s="13">
        <v>45093</v>
      </c>
      <c r="M3">
        <v>0</v>
      </c>
      <c r="N3">
        <v>0</v>
      </c>
      <c r="O3">
        <v>0</v>
      </c>
      <c r="P3" t="s">
        <v>27</v>
      </c>
      <c r="Q3" s="6" t="s">
        <v>27</v>
      </c>
      <c r="R3" s="6" t="s">
        <v>27</v>
      </c>
      <c r="S3" s="2" t="s">
        <v>29</v>
      </c>
      <c r="T3" t="s">
        <v>36</v>
      </c>
      <c r="U3" s="6">
        <v>2</v>
      </c>
      <c r="V3" s="13">
        <v>45100</v>
      </c>
      <c r="W3">
        <v>0</v>
      </c>
      <c r="X3">
        <v>0</v>
      </c>
      <c r="Y3">
        <v>0</v>
      </c>
      <c r="Z3" t="s">
        <v>27</v>
      </c>
      <c r="AA3" s="6" t="s">
        <v>27</v>
      </c>
      <c r="AB3" t="s">
        <v>27</v>
      </c>
      <c r="AC3" s="2" t="s">
        <v>30</v>
      </c>
      <c r="AD3" t="s">
        <v>36</v>
      </c>
      <c r="AE3" s="1">
        <v>3</v>
      </c>
      <c r="AF3" s="13">
        <v>45106</v>
      </c>
      <c r="AG3">
        <v>0</v>
      </c>
      <c r="AH3">
        <v>0</v>
      </c>
      <c r="AI3">
        <v>0</v>
      </c>
      <c r="AJ3" t="s">
        <v>27</v>
      </c>
      <c r="AK3" s="6" t="s">
        <v>27</v>
      </c>
      <c r="AL3" t="s">
        <v>27</v>
      </c>
      <c r="AN3" t="s">
        <v>36</v>
      </c>
      <c r="AO3" s="1">
        <v>4</v>
      </c>
      <c r="AP3" s="13">
        <v>45113</v>
      </c>
      <c r="AQ3">
        <v>0</v>
      </c>
      <c r="AR3">
        <v>0</v>
      </c>
      <c r="AS3">
        <v>0</v>
      </c>
      <c r="AT3" t="s">
        <v>27</v>
      </c>
      <c r="AU3" s="6" t="s">
        <v>27</v>
      </c>
      <c r="AV3" t="s">
        <v>27</v>
      </c>
      <c r="AX3" t="s">
        <v>36</v>
      </c>
      <c r="AY3" s="1">
        <v>5</v>
      </c>
      <c r="AZ3" s="13">
        <v>45119</v>
      </c>
      <c r="BA3">
        <v>0</v>
      </c>
      <c r="BB3">
        <v>0</v>
      </c>
      <c r="BC3">
        <v>0</v>
      </c>
      <c r="BD3" t="s">
        <v>27</v>
      </c>
      <c r="BE3" s="6" t="s">
        <v>27</v>
      </c>
      <c r="BF3" t="s">
        <v>27</v>
      </c>
      <c r="BG3" s="2" t="s">
        <v>31</v>
      </c>
      <c r="BH3" t="s">
        <v>36</v>
      </c>
      <c r="BI3" s="1">
        <v>6</v>
      </c>
      <c r="BJ3" s="13">
        <v>45128</v>
      </c>
      <c r="BK3">
        <v>0</v>
      </c>
      <c r="BL3">
        <v>0</v>
      </c>
      <c r="BM3">
        <v>0</v>
      </c>
      <c r="BN3" t="s">
        <v>27</v>
      </c>
      <c r="BO3" s="6" t="s">
        <v>27</v>
      </c>
      <c r="BP3" t="s">
        <v>27</v>
      </c>
      <c r="BQ3" s="2" t="s">
        <v>32</v>
      </c>
      <c r="BR3" t="s">
        <v>36</v>
      </c>
      <c r="BS3" s="1">
        <v>7</v>
      </c>
      <c r="BT3" s="13">
        <v>45135</v>
      </c>
      <c r="BU3">
        <v>5</v>
      </c>
      <c r="BV3">
        <v>3</v>
      </c>
      <c r="BW3">
        <v>8</v>
      </c>
      <c r="BX3" s="51" t="s">
        <v>33</v>
      </c>
      <c r="BY3" s="51" t="s">
        <v>33</v>
      </c>
      <c r="BZ3" s="51" t="s">
        <v>27</v>
      </c>
      <c r="CC3" s="36" t="s">
        <v>36</v>
      </c>
      <c r="CD3" s="30">
        <f t="shared" ref="CD3:CD66" si="0">SUM(O3+Y3+AI3+AS3+BC3+BM3+BW3)</f>
        <v>8</v>
      </c>
      <c r="CF3" s="28" t="s">
        <v>37</v>
      </c>
      <c r="CG3" s="33">
        <f>SUM(Y2:Y134)</f>
        <v>100</v>
      </c>
      <c r="CI3" s="46" t="s">
        <v>38</v>
      </c>
      <c r="CJ3" s="48">
        <f>COUNTIF(CD2:CD134, "&gt;0")</f>
        <v>85</v>
      </c>
    </row>
    <row r="4" spans="1:88" thickBot="1" x14ac:dyDescent="0.35">
      <c r="A4" t="s">
        <v>39</v>
      </c>
      <c r="B4" t="s">
        <v>24</v>
      </c>
      <c r="C4">
        <v>32.401269999999997</v>
      </c>
      <c r="D4">
        <v>-83.669470000000004</v>
      </c>
      <c r="E4" s="13">
        <v>45077</v>
      </c>
      <c r="F4" s="13">
        <v>45085</v>
      </c>
      <c r="H4" s="1" t="s">
        <v>25</v>
      </c>
      <c r="I4" s="12" t="s">
        <v>26</v>
      </c>
      <c r="J4" t="s">
        <v>39</v>
      </c>
      <c r="K4" s="6">
        <v>1</v>
      </c>
      <c r="L4" s="13">
        <v>45093</v>
      </c>
      <c r="M4">
        <v>0</v>
      </c>
      <c r="N4">
        <v>0</v>
      </c>
      <c r="O4">
        <v>0</v>
      </c>
      <c r="P4" t="s">
        <v>27</v>
      </c>
      <c r="Q4" s="6" t="s">
        <v>27</v>
      </c>
      <c r="R4" s="6" t="s">
        <v>27</v>
      </c>
      <c r="S4" s="2" t="s">
        <v>29</v>
      </c>
      <c r="T4" t="s">
        <v>39</v>
      </c>
      <c r="U4" s="6">
        <v>2</v>
      </c>
      <c r="V4" s="13">
        <v>45100</v>
      </c>
      <c r="W4">
        <v>0</v>
      </c>
      <c r="X4">
        <v>0</v>
      </c>
      <c r="Y4">
        <v>0</v>
      </c>
      <c r="Z4" t="s">
        <v>27</v>
      </c>
      <c r="AA4" s="6" t="s">
        <v>27</v>
      </c>
      <c r="AB4" t="s">
        <v>27</v>
      </c>
      <c r="AC4" s="2" t="s">
        <v>30</v>
      </c>
      <c r="AD4" t="s">
        <v>39</v>
      </c>
      <c r="AE4" s="1">
        <v>3</v>
      </c>
      <c r="AF4" s="13">
        <v>45106</v>
      </c>
      <c r="AG4">
        <v>0</v>
      </c>
      <c r="AH4">
        <v>0</v>
      </c>
      <c r="AI4">
        <v>0</v>
      </c>
      <c r="AJ4" t="s">
        <v>27</v>
      </c>
      <c r="AK4" s="6" t="s">
        <v>27</v>
      </c>
      <c r="AL4" t="s">
        <v>27</v>
      </c>
      <c r="AN4" t="s">
        <v>39</v>
      </c>
      <c r="AO4" s="1">
        <v>4</v>
      </c>
      <c r="AP4" s="13">
        <v>45113</v>
      </c>
      <c r="AQ4">
        <v>0</v>
      </c>
      <c r="AR4">
        <v>0</v>
      </c>
      <c r="AS4">
        <v>0</v>
      </c>
      <c r="AT4" t="s">
        <v>27</v>
      </c>
      <c r="AU4" s="6" t="s">
        <v>27</v>
      </c>
      <c r="AV4" t="s">
        <v>27</v>
      </c>
      <c r="AX4" t="s">
        <v>39</v>
      </c>
      <c r="AY4" s="1">
        <v>5</v>
      </c>
      <c r="AZ4" s="13">
        <v>45119</v>
      </c>
      <c r="BA4">
        <v>0</v>
      </c>
      <c r="BB4">
        <v>0</v>
      </c>
      <c r="BC4">
        <v>0</v>
      </c>
      <c r="BD4" t="s">
        <v>27</v>
      </c>
      <c r="BE4" s="6" t="s">
        <v>27</v>
      </c>
      <c r="BF4" t="s">
        <v>27</v>
      </c>
      <c r="BG4" s="2" t="s">
        <v>31</v>
      </c>
      <c r="BH4" t="s">
        <v>39</v>
      </c>
      <c r="BI4" s="1">
        <v>6</v>
      </c>
      <c r="BJ4" s="13">
        <v>45128</v>
      </c>
      <c r="BK4">
        <v>0</v>
      </c>
      <c r="BL4">
        <v>0</v>
      </c>
      <c r="BM4">
        <v>0</v>
      </c>
      <c r="BN4" t="s">
        <v>27</v>
      </c>
      <c r="BO4" s="6" t="s">
        <v>27</v>
      </c>
      <c r="BP4" t="s">
        <v>27</v>
      </c>
      <c r="BQ4" s="2" t="s">
        <v>32</v>
      </c>
      <c r="BR4" t="s">
        <v>39</v>
      </c>
      <c r="BS4" s="1">
        <v>7</v>
      </c>
      <c r="BT4" s="13">
        <v>45135</v>
      </c>
      <c r="BU4">
        <v>0</v>
      </c>
      <c r="BV4">
        <v>0</v>
      </c>
      <c r="BW4">
        <v>0</v>
      </c>
      <c r="BX4" s="51" t="s">
        <v>27</v>
      </c>
      <c r="BY4" s="51" t="s">
        <v>27</v>
      </c>
      <c r="BZ4" s="51" t="s">
        <v>27</v>
      </c>
      <c r="CC4" s="36" t="s">
        <v>39</v>
      </c>
      <c r="CD4" s="30">
        <f t="shared" si="0"/>
        <v>0</v>
      </c>
      <c r="CF4" s="28" t="s">
        <v>40</v>
      </c>
      <c r="CG4" s="33">
        <f>SUM(AI2:AI134)</f>
        <v>371</v>
      </c>
      <c r="CI4" s="47" t="s">
        <v>41</v>
      </c>
      <c r="CJ4" s="49">
        <f>(CJ3/130)*100</f>
        <v>65.384615384615387</v>
      </c>
    </row>
    <row r="5" spans="1:88" ht="14.4" x14ac:dyDescent="0.3">
      <c r="A5" t="s">
        <v>42</v>
      </c>
      <c r="B5" t="s">
        <v>24</v>
      </c>
      <c r="C5">
        <v>32.400269999999999</v>
      </c>
      <c r="D5">
        <v>-83.648349999999994</v>
      </c>
      <c r="E5" s="13">
        <v>45077</v>
      </c>
      <c r="F5" s="13">
        <v>45085</v>
      </c>
      <c r="H5" s="1" t="s">
        <v>25</v>
      </c>
      <c r="I5" s="12" t="s">
        <v>26</v>
      </c>
      <c r="J5" t="s">
        <v>42</v>
      </c>
      <c r="K5" s="6">
        <v>1</v>
      </c>
      <c r="L5" s="13">
        <v>45093</v>
      </c>
      <c r="M5">
        <v>0</v>
      </c>
      <c r="N5">
        <v>1</v>
      </c>
      <c r="O5">
        <v>1</v>
      </c>
      <c r="P5" t="s">
        <v>27</v>
      </c>
      <c r="Q5" s="6" t="s">
        <v>27</v>
      </c>
      <c r="R5" s="6" t="s">
        <v>28</v>
      </c>
      <c r="S5" s="2" t="s">
        <v>29</v>
      </c>
      <c r="T5" t="s">
        <v>42</v>
      </c>
      <c r="U5" s="6">
        <v>2</v>
      </c>
      <c r="V5" s="13">
        <v>45100</v>
      </c>
      <c r="W5">
        <v>0</v>
      </c>
      <c r="X5">
        <v>0</v>
      </c>
      <c r="Y5">
        <v>0</v>
      </c>
      <c r="Z5" t="s">
        <v>27</v>
      </c>
      <c r="AA5" s="6" t="s">
        <v>27</v>
      </c>
      <c r="AB5" t="s">
        <v>27</v>
      </c>
      <c r="AC5" s="2" t="s">
        <v>30</v>
      </c>
      <c r="AD5" t="s">
        <v>42</v>
      </c>
      <c r="AE5" s="1">
        <v>3</v>
      </c>
      <c r="AF5" s="13">
        <v>45106</v>
      </c>
      <c r="AG5">
        <v>0</v>
      </c>
      <c r="AH5">
        <v>0</v>
      </c>
      <c r="AI5">
        <v>0</v>
      </c>
      <c r="AJ5" t="s">
        <v>27</v>
      </c>
      <c r="AK5" s="6" t="s">
        <v>27</v>
      </c>
      <c r="AL5" t="s">
        <v>27</v>
      </c>
      <c r="AN5" t="s">
        <v>42</v>
      </c>
      <c r="AO5" s="1">
        <v>4</v>
      </c>
      <c r="AP5" s="13">
        <v>45113</v>
      </c>
      <c r="AQ5">
        <v>0</v>
      </c>
      <c r="AR5">
        <v>0</v>
      </c>
      <c r="AS5">
        <v>0</v>
      </c>
      <c r="AT5" t="s">
        <v>27</v>
      </c>
      <c r="AU5" s="6" t="s">
        <v>27</v>
      </c>
      <c r="AV5" t="s">
        <v>27</v>
      </c>
      <c r="AX5" t="s">
        <v>42</v>
      </c>
      <c r="AY5" s="1">
        <v>5</v>
      </c>
      <c r="AZ5" s="13">
        <v>45119</v>
      </c>
      <c r="BA5">
        <v>0</v>
      </c>
      <c r="BB5">
        <v>0</v>
      </c>
      <c r="BC5">
        <v>0</v>
      </c>
      <c r="BD5" t="s">
        <v>27</v>
      </c>
      <c r="BE5" s="6" t="s">
        <v>27</v>
      </c>
      <c r="BF5" t="s">
        <v>27</v>
      </c>
      <c r="BG5" s="2" t="s">
        <v>31</v>
      </c>
      <c r="BH5" t="s">
        <v>42</v>
      </c>
      <c r="BI5" s="1">
        <v>6</v>
      </c>
      <c r="BJ5" s="13">
        <v>45128</v>
      </c>
      <c r="BK5">
        <v>0</v>
      </c>
      <c r="BL5">
        <v>0</v>
      </c>
      <c r="BM5">
        <v>0</v>
      </c>
      <c r="BN5" t="s">
        <v>27</v>
      </c>
      <c r="BO5" s="6" t="s">
        <v>27</v>
      </c>
      <c r="BP5" t="s">
        <v>27</v>
      </c>
      <c r="BQ5" s="2" t="s">
        <v>32</v>
      </c>
      <c r="BR5" t="s">
        <v>42</v>
      </c>
      <c r="BS5" s="1">
        <v>7</v>
      </c>
      <c r="BT5" s="13">
        <v>45135</v>
      </c>
      <c r="BU5">
        <v>0</v>
      </c>
      <c r="BV5">
        <v>0</v>
      </c>
      <c r="BW5">
        <v>0</v>
      </c>
      <c r="BX5" s="51" t="s">
        <v>27</v>
      </c>
      <c r="BY5" s="51" t="s">
        <v>27</v>
      </c>
      <c r="BZ5" s="51" t="s">
        <v>27</v>
      </c>
      <c r="CC5" s="36" t="s">
        <v>42</v>
      </c>
      <c r="CD5" s="30">
        <f t="shared" si="0"/>
        <v>1</v>
      </c>
      <c r="CF5" s="28" t="s">
        <v>43</v>
      </c>
      <c r="CG5" s="33">
        <f>SUM(AS2:AS134)</f>
        <v>258</v>
      </c>
    </row>
    <row r="6" spans="1:88" ht="14.4" x14ac:dyDescent="0.3">
      <c r="A6" t="s">
        <v>44</v>
      </c>
      <c r="B6" t="s">
        <v>24</v>
      </c>
      <c r="C6">
        <v>32.407739999999997</v>
      </c>
      <c r="D6">
        <v>-83.627619999999993</v>
      </c>
      <c r="E6" s="13">
        <v>45077</v>
      </c>
      <c r="F6" s="13">
        <v>45085</v>
      </c>
      <c r="H6" s="1" t="s">
        <v>25</v>
      </c>
      <c r="I6" s="12" t="s">
        <v>26</v>
      </c>
      <c r="J6" t="s">
        <v>44</v>
      </c>
      <c r="K6" s="6">
        <v>1</v>
      </c>
      <c r="L6" s="13">
        <v>45093</v>
      </c>
      <c r="M6">
        <v>1</v>
      </c>
      <c r="N6">
        <v>0</v>
      </c>
      <c r="O6">
        <v>1</v>
      </c>
      <c r="P6" t="s">
        <v>45</v>
      </c>
      <c r="Q6" s="6" t="s">
        <v>27</v>
      </c>
      <c r="R6" s="6" t="s">
        <v>45</v>
      </c>
      <c r="S6" s="2" t="s">
        <v>29</v>
      </c>
      <c r="T6" t="s">
        <v>44</v>
      </c>
      <c r="U6" s="6">
        <v>2</v>
      </c>
      <c r="V6" s="13">
        <v>45100</v>
      </c>
      <c r="W6">
        <v>0</v>
      </c>
      <c r="X6">
        <v>0</v>
      </c>
      <c r="Y6">
        <v>0</v>
      </c>
      <c r="Z6" t="s">
        <v>27</v>
      </c>
      <c r="AA6" s="6" t="s">
        <v>27</v>
      </c>
      <c r="AB6" t="s">
        <v>27</v>
      </c>
      <c r="AC6" s="2" t="s">
        <v>30</v>
      </c>
      <c r="AD6" t="s">
        <v>44</v>
      </c>
      <c r="AE6" s="1">
        <v>3</v>
      </c>
      <c r="AF6" s="13">
        <v>45106</v>
      </c>
      <c r="AG6">
        <v>8</v>
      </c>
      <c r="AH6">
        <v>7</v>
      </c>
      <c r="AI6">
        <v>15</v>
      </c>
      <c r="AJ6" t="s">
        <v>33</v>
      </c>
      <c r="AK6" s="6" t="s">
        <v>33</v>
      </c>
      <c r="AL6" t="s">
        <v>27</v>
      </c>
      <c r="AN6" t="s">
        <v>44</v>
      </c>
      <c r="AO6" s="1">
        <v>4</v>
      </c>
      <c r="AP6" s="13">
        <v>45113</v>
      </c>
      <c r="AQ6">
        <v>0</v>
      </c>
      <c r="AR6">
        <v>0</v>
      </c>
      <c r="AS6">
        <v>0</v>
      </c>
      <c r="AT6" t="s">
        <v>45</v>
      </c>
      <c r="AU6" s="6" t="s">
        <v>33</v>
      </c>
      <c r="AV6" t="s">
        <v>27</v>
      </c>
      <c r="AX6" t="s">
        <v>44</v>
      </c>
      <c r="AY6" s="1">
        <v>5</v>
      </c>
      <c r="AZ6" s="13">
        <v>45119</v>
      </c>
      <c r="BA6">
        <v>6</v>
      </c>
      <c r="BB6">
        <v>2</v>
      </c>
      <c r="BC6">
        <v>8</v>
      </c>
      <c r="BD6" t="s">
        <v>33</v>
      </c>
      <c r="BE6" s="6" t="s">
        <v>33</v>
      </c>
      <c r="BF6" t="s">
        <v>27</v>
      </c>
      <c r="BG6" s="2" t="s">
        <v>31</v>
      </c>
      <c r="BH6" t="s">
        <v>44</v>
      </c>
      <c r="BI6" s="1">
        <v>6</v>
      </c>
      <c r="BJ6" s="13">
        <v>45128</v>
      </c>
      <c r="BK6">
        <v>0</v>
      </c>
      <c r="BL6">
        <v>0</v>
      </c>
      <c r="BM6">
        <v>0</v>
      </c>
      <c r="BN6" t="s">
        <v>27</v>
      </c>
      <c r="BO6" s="6" t="s">
        <v>27</v>
      </c>
      <c r="BP6" t="s">
        <v>27</v>
      </c>
      <c r="BQ6" s="2" t="s">
        <v>32</v>
      </c>
      <c r="BR6" t="s">
        <v>44</v>
      </c>
      <c r="BS6" s="1">
        <v>7</v>
      </c>
      <c r="BT6" s="13">
        <v>45135</v>
      </c>
      <c r="BU6">
        <v>0</v>
      </c>
      <c r="BV6">
        <v>0</v>
      </c>
      <c r="BW6">
        <v>0</v>
      </c>
      <c r="BX6" s="51" t="s">
        <v>27</v>
      </c>
      <c r="BY6" s="51" t="s">
        <v>27</v>
      </c>
      <c r="BZ6" s="51" t="s">
        <v>27</v>
      </c>
      <c r="CC6" s="36" t="s">
        <v>44</v>
      </c>
      <c r="CD6" s="30">
        <f t="shared" si="0"/>
        <v>24</v>
      </c>
      <c r="CF6" s="28" t="s">
        <v>46</v>
      </c>
      <c r="CG6" s="33">
        <f>SUM(BC5:BC135)</f>
        <v>221</v>
      </c>
    </row>
    <row r="7" spans="1:88" ht="14.4" x14ac:dyDescent="0.3">
      <c r="A7" t="s">
        <v>47</v>
      </c>
      <c r="B7" t="s">
        <v>24</v>
      </c>
      <c r="C7" s="21">
        <v>32.419199999999996</v>
      </c>
      <c r="D7">
        <v>-83.62227</v>
      </c>
      <c r="E7" s="13">
        <v>45077</v>
      </c>
      <c r="F7" s="13">
        <v>45085</v>
      </c>
      <c r="H7" s="1" t="s">
        <v>25</v>
      </c>
      <c r="I7" s="12" t="s">
        <v>26</v>
      </c>
      <c r="J7" t="s">
        <v>47</v>
      </c>
      <c r="K7" s="6">
        <v>1</v>
      </c>
      <c r="L7" s="13">
        <v>45093</v>
      </c>
      <c r="M7">
        <v>0</v>
      </c>
      <c r="N7">
        <v>0</v>
      </c>
      <c r="O7">
        <v>0</v>
      </c>
      <c r="P7" t="s">
        <v>27</v>
      </c>
      <c r="Q7" s="6" t="s">
        <v>27</v>
      </c>
      <c r="R7" s="6" t="s">
        <v>27</v>
      </c>
      <c r="S7" s="2" t="s">
        <v>29</v>
      </c>
      <c r="T7" t="s">
        <v>47</v>
      </c>
      <c r="U7" s="6">
        <v>2</v>
      </c>
      <c r="V7" s="13">
        <v>45100</v>
      </c>
      <c r="W7">
        <v>0</v>
      </c>
      <c r="X7">
        <v>0</v>
      </c>
      <c r="Y7">
        <v>0</v>
      </c>
      <c r="Z7" t="s">
        <v>27</v>
      </c>
      <c r="AA7" s="6" t="s">
        <v>27</v>
      </c>
      <c r="AB7" t="s">
        <v>27</v>
      </c>
      <c r="AC7" s="2" t="s">
        <v>30</v>
      </c>
      <c r="AD7" t="s">
        <v>47</v>
      </c>
      <c r="AE7" s="1">
        <v>3</v>
      </c>
      <c r="AF7" s="13">
        <v>45106</v>
      </c>
      <c r="AG7">
        <v>0</v>
      </c>
      <c r="AH7">
        <v>1</v>
      </c>
      <c r="AI7">
        <v>1</v>
      </c>
      <c r="AJ7" t="s">
        <v>33</v>
      </c>
      <c r="AK7" s="6" t="s">
        <v>27</v>
      </c>
      <c r="AL7" t="s">
        <v>27</v>
      </c>
      <c r="AN7" t="s">
        <v>47</v>
      </c>
      <c r="AO7" s="1">
        <v>4</v>
      </c>
      <c r="AP7" s="13">
        <v>45113</v>
      </c>
      <c r="AQ7">
        <v>0</v>
      </c>
      <c r="AR7">
        <v>0</v>
      </c>
      <c r="AS7">
        <v>0</v>
      </c>
      <c r="AT7" t="s">
        <v>27</v>
      </c>
      <c r="AU7" s="6" t="s">
        <v>27</v>
      </c>
      <c r="AV7" t="s">
        <v>27</v>
      </c>
      <c r="AX7" t="s">
        <v>47</v>
      </c>
      <c r="AY7" s="1">
        <v>5</v>
      </c>
      <c r="AZ7" s="13">
        <v>45119</v>
      </c>
      <c r="BA7">
        <v>0</v>
      </c>
      <c r="BB7">
        <v>0</v>
      </c>
      <c r="BC7">
        <v>0</v>
      </c>
      <c r="BD7" t="s">
        <v>27</v>
      </c>
      <c r="BE7" s="6" t="s">
        <v>27</v>
      </c>
      <c r="BF7" t="s">
        <v>27</v>
      </c>
      <c r="BG7" s="2" t="s">
        <v>31</v>
      </c>
      <c r="BH7" t="s">
        <v>47</v>
      </c>
      <c r="BI7" s="1">
        <v>6</v>
      </c>
      <c r="BJ7" s="13">
        <v>45128</v>
      </c>
      <c r="BK7">
        <v>0</v>
      </c>
      <c r="BL7">
        <v>0</v>
      </c>
      <c r="BM7">
        <v>0</v>
      </c>
      <c r="BN7" t="s">
        <v>27</v>
      </c>
      <c r="BO7" s="6" t="s">
        <v>27</v>
      </c>
      <c r="BP7" t="s">
        <v>27</v>
      </c>
      <c r="BQ7" s="2" t="s">
        <v>32</v>
      </c>
      <c r="BR7" t="s">
        <v>47</v>
      </c>
      <c r="BS7" s="1">
        <v>7</v>
      </c>
      <c r="BT7" s="13">
        <v>45135</v>
      </c>
      <c r="BU7">
        <v>0</v>
      </c>
      <c r="BV7">
        <v>0</v>
      </c>
      <c r="BW7">
        <v>0</v>
      </c>
      <c r="BX7" s="51" t="s">
        <v>27</v>
      </c>
      <c r="BY7" s="51" t="s">
        <v>27</v>
      </c>
      <c r="BZ7" s="51" t="s">
        <v>27</v>
      </c>
      <c r="CC7" s="36" t="s">
        <v>47</v>
      </c>
      <c r="CD7" s="30">
        <f t="shared" si="0"/>
        <v>1</v>
      </c>
      <c r="CF7" s="28" t="s">
        <v>48</v>
      </c>
      <c r="CG7" s="33">
        <f>SUM(BM6:BM134)</f>
        <v>271</v>
      </c>
    </row>
    <row r="8" spans="1:88" thickBot="1" x14ac:dyDescent="0.35">
      <c r="A8" t="s">
        <v>49</v>
      </c>
      <c r="B8" t="s">
        <v>24</v>
      </c>
      <c r="C8">
        <v>32.417769999999997</v>
      </c>
      <c r="D8">
        <v>-83.604709999999997</v>
      </c>
      <c r="E8" s="13">
        <v>45077</v>
      </c>
      <c r="F8" s="13">
        <v>45085</v>
      </c>
      <c r="H8" s="1" t="s">
        <v>25</v>
      </c>
      <c r="I8" s="12" t="s">
        <v>26</v>
      </c>
      <c r="J8" t="s">
        <v>49</v>
      </c>
      <c r="K8" s="6">
        <v>1</v>
      </c>
      <c r="L8" s="13">
        <v>45093</v>
      </c>
      <c r="M8">
        <v>0</v>
      </c>
      <c r="N8">
        <v>0</v>
      </c>
      <c r="O8">
        <v>0</v>
      </c>
      <c r="P8" t="s">
        <v>27</v>
      </c>
      <c r="Q8" s="6" t="s">
        <v>27</v>
      </c>
      <c r="R8" s="6" t="s">
        <v>27</v>
      </c>
      <c r="S8" s="2" t="s">
        <v>29</v>
      </c>
      <c r="T8" t="s">
        <v>49</v>
      </c>
      <c r="U8" s="6">
        <v>2</v>
      </c>
      <c r="V8" s="13">
        <v>45100</v>
      </c>
      <c r="W8">
        <v>0</v>
      </c>
      <c r="X8">
        <v>0</v>
      </c>
      <c r="Y8">
        <v>0</v>
      </c>
      <c r="Z8" t="s">
        <v>27</v>
      </c>
      <c r="AA8" s="6" t="s">
        <v>27</v>
      </c>
      <c r="AB8" t="s">
        <v>27</v>
      </c>
      <c r="AC8" s="2" t="s">
        <v>30</v>
      </c>
      <c r="AD8" t="s">
        <v>49</v>
      </c>
      <c r="AE8" s="1">
        <v>3</v>
      </c>
      <c r="AF8" s="13">
        <v>45106</v>
      </c>
      <c r="AG8">
        <v>8</v>
      </c>
      <c r="AH8">
        <v>7</v>
      </c>
      <c r="AI8">
        <v>15</v>
      </c>
      <c r="AJ8" t="s">
        <v>33</v>
      </c>
      <c r="AK8" s="6" t="s">
        <v>33</v>
      </c>
      <c r="AL8" t="s">
        <v>27</v>
      </c>
      <c r="AN8" t="s">
        <v>49</v>
      </c>
      <c r="AO8" s="1">
        <v>4</v>
      </c>
      <c r="AP8" s="13">
        <v>45113</v>
      </c>
      <c r="AQ8">
        <v>0</v>
      </c>
      <c r="AR8">
        <v>4</v>
      </c>
      <c r="AS8">
        <v>4</v>
      </c>
      <c r="AT8" t="s">
        <v>33</v>
      </c>
      <c r="AU8" s="6" t="s">
        <v>33</v>
      </c>
      <c r="AV8" t="s">
        <v>27</v>
      </c>
      <c r="AX8" t="s">
        <v>49</v>
      </c>
      <c r="AY8" s="1">
        <v>5</v>
      </c>
      <c r="AZ8" s="13">
        <v>45119</v>
      </c>
      <c r="BA8">
        <v>1</v>
      </c>
      <c r="BB8">
        <v>1</v>
      </c>
      <c r="BC8">
        <v>2</v>
      </c>
      <c r="BD8" t="s">
        <v>33</v>
      </c>
      <c r="BE8" s="6" t="s">
        <v>27</v>
      </c>
      <c r="BF8" t="s">
        <v>27</v>
      </c>
      <c r="BG8" s="2" t="s">
        <v>31</v>
      </c>
      <c r="BH8" t="s">
        <v>49</v>
      </c>
      <c r="BI8" s="1">
        <v>6</v>
      </c>
      <c r="BJ8" s="13">
        <v>45128</v>
      </c>
      <c r="BK8">
        <v>0</v>
      </c>
      <c r="BL8">
        <v>0</v>
      </c>
      <c r="BM8">
        <v>0</v>
      </c>
      <c r="BN8" t="s">
        <v>27</v>
      </c>
      <c r="BO8" s="6" t="s">
        <v>27</v>
      </c>
      <c r="BP8" t="s">
        <v>27</v>
      </c>
      <c r="BQ8" s="2" t="s">
        <v>32</v>
      </c>
      <c r="BR8" t="s">
        <v>49</v>
      </c>
      <c r="BS8" s="1">
        <v>7</v>
      </c>
      <c r="BT8" s="13">
        <v>45135</v>
      </c>
      <c r="BU8">
        <v>2</v>
      </c>
      <c r="BV8">
        <v>0</v>
      </c>
      <c r="BW8">
        <v>2</v>
      </c>
      <c r="BX8" s="51" t="s">
        <v>33</v>
      </c>
      <c r="BY8" s="51" t="s">
        <v>33</v>
      </c>
      <c r="BZ8" s="51" t="s">
        <v>27</v>
      </c>
      <c r="CC8" s="36" t="s">
        <v>49</v>
      </c>
      <c r="CD8" s="30">
        <f t="shared" si="0"/>
        <v>23</v>
      </c>
      <c r="CF8" s="31" t="s">
        <v>50</v>
      </c>
      <c r="CG8" s="34">
        <f>SUM(BW2:BW134)</f>
        <v>181</v>
      </c>
    </row>
    <row r="9" spans="1:88" thickBot="1" x14ac:dyDescent="0.35">
      <c r="A9" t="s">
        <v>51</v>
      </c>
      <c r="B9" t="s">
        <v>24</v>
      </c>
      <c r="C9">
        <v>32.416730000000001</v>
      </c>
      <c r="D9" s="21">
        <v>-83.5929</v>
      </c>
      <c r="E9" s="13">
        <v>45077</v>
      </c>
      <c r="F9" s="13">
        <v>45085</v>
      </c>
      <c r="H9" s="1" t="s">
        <v>25</v>
      </c>
      <c r="I9" s="12" t="s">
        <v>26</v>
      </c>
      <c r="J9" t="s">
        <v>51</v>
      </c>
      <c r="K9" s="6">
        <v>1</v>
      </c>
      <c r="L9" s="13">
        <v>45093</v>
      </c>
      <c r="M9">
        <v>0</v>
      </c>
      <c r="N9">
        <v>1</v>
      </c>
      <c r="O9">
        <v>1</v>
      </c>
      <c r="P9" t="s">
        <v>45</v>
      </c>
      <c r="Q9" s="6" t="s">
        <v>27</v>
      </c>
      <c r="R9" s="6" t="s">
        <v>45</v>
      </c>
      <c r="S9" s="2" t="s">
        <v>29</v>
      </c>
      <c r="T9" t="s">
        <v>51</v>
      </c>
      <c r="U9" s="6">
        <v>2</v>
      </c>
      <c r="V9" s="13">
        <v>45100</v>
      </c>
      <c r="W9">
        <v>0</v>
      </c>
      <c r="X9">
        <v>0</v>
      </c>
      <c r="Y9">
        <v>0</v>
      </c>
      <c r="Z9" t="s">
        <v>27</v>
      </c>
      <c r="AA9" s="6" t="s">
        <v>27</v>
      </c>
      <c r="AB9" t="s">
        <v>27</v>
      </c>
      <c r="AC9" s="2" t="s">
        <v>30</v>
      </c>
      <c r="AD9" t="s">
        <v>51</v>
      </c>
      <c r="AE9" s="1">
        <v>3</v>
      </c>
      <c r="AF9" s="13">
        <v>45106</v>
      </c>
      <c r="AG9">
        <v>15</v>
      </c>
      <c r="AH9">
        <v>5</v>
      </c>
      <c r="AI9">
        <v>20</v>
      </c>
      <c r="AJ9" t="s">
        <v>33</v>
      </c>
      <c r="AK9" s="6" t="s">
        <v>33</v>
      </c>
      <c r="AL9" t="s">
        <v>27</v>
      </c>
      <c r="AN9" t="s">
        <v>51</v>
      </c>
      <c r="AO9" s="1">
        <v>4</v>
      </c>
      <c r="AP9" s="13">
        <v>45113</v>
      </c>
      <c r="AQ9">
        <v>10</v>
      </c>
      <c r="AR9">
        <v>5</v>
      </c>
      <c r="AS9">
        <v>15</v>
      </c>
      <c r="AT9" t="s">
        <v>33</v>
      </c>
      <c r="AU9" s="6" t="s">
        <v>33</v>
      </c>
      <c r="AV9" t="s">
        <v>27</v>
      </c>
      <c r="AX9" t="s">
        <v>51</v>
      </c>
      <c r="AY9" s="1">
        <v>5</v>
      </c>
      <c r="AZ9" s="13">
        <v>45119</v>
      </c>
      <c r="BA9">
        <v>1</v>
      </c>
      <c r="BB9">
        <v>1</v>
      </c>
      <c r="BC9">
        <v>2</v>
      </c>
      <c r="BD9" t="s">
        <v>33</v>
      </c>
      <c r="BE9" s="6" t="s">
        <v>33</v>
      </c>
      <c r="BF9" t="s">
        <v>27</v>
      </c>
      <c r="BG9" s="2" t="s">
        <v>31</v>
      </c>
      <c r="BH9" t="s">
        <v>51</v>
      </c>
      <c r="BI9" s="1">
        <v>6</v>
      </c>
      <c r="BJ9" s="13">
        <v>45128</v>
      </c>
      <c r="BK9">
        <v>0</v>
      </c>
      <c r="BL9">
        <v>0</v>
      </c>
      <c r="BM9">
        <v>0</v>
      </c>
      <c r="BN9" t="s">
        <v>27</v>
      </c>
      <c r="BO9" s="6" t="s">
        <v>27</v>
      </c>
      <c r="BP9" t="s">
        <v>27</v>
      </c>
      <c r="BQ9" s="2" t="s">
        <v>32</v>
      </c>
      <c r="BR9" t="s">
        <v>51</v>
      </c>
      <c r="BS9" s="1">
        <v>7</v>
      </c>
      <c r="BT9" s="13">
        <v>45135</v>
      </c>
      <c r="BU9">
        <v>0</v>
      </c>
      <c r="BV9">
        <v>0</v>
      </c>
      <c r="BW9">
        <v>0</v>
      </c>
      <c r="BX9" s="51" t="s">
        <v>27</v>
      </c>
      <c r="BY9" s="51" t="s">
        <v>27</v>
      </c>
      <c r="BZ9" s="51" t="s">
        <v>27</v>
      </c>
      <c r="CC9" s="37" t="s">
        <v>51</v>
      </c>
      <c r="CD9" s="35">
        <f t="shared" si="0"/>
        <v>38</v>
      </c>
    </row>
    <row r="10" spans="1:88" thickBot="1" x14ac:dyDescent="0.35">
      <c r="A10" t="s">
        <v>52</v>
      </c>
      <c r="B10" t="s">
        <v>53</v>
      </c>
      <c r="C10">
        <v>32.38062</v>
      </c>
      <c r="D10">
        <v>-83.559520000000006</v>
      </c>
      <c r="E10" s="13">
        <v>45081</v>
      </c>
      <c r="F10" s="13">
        <v>45084</v>
      </c>
      <c r="H10" s="1" t="s">
        <v>25</v>
      </c>
      <c r="I10" s="12" t="s">
        <v>26</v>
      </c>
      <c r="J10" t="s">
        <v>52</v>
      </c>
      <c r="K10" s="6">
        <v>1</v>
      </c>
      <c r="L10" s="13">
        <v>45092</v>
      </c>
      <c r="M10">
        <v>0</v>
      </c>
      <c r="N10">
        <v>0</v>
      </c>
      <c r="O10">
        <v>0</v>
      </c>
      <c r="P10" t="s">
        <v>27</v>
      </c>
      <c r="Q10" s="6" t="s">
        <v>27</v>
      </c>
      <c r="R10" s="6" t="s">
        <v>27</v>
      </c>
      <c r="S10" s="2" t="s">
        <v>29</v>
      </c>
      <c r="T10" t="s">
        <v>52</v>
      </c>
      <c r="U10" s="6">
        <v>2</v>
      </c>
      <c r="V10" s="13">
        <v>45098</v>
      </c>
      <c r="W10">
        <v>0</v>
      </c>
      <c r="X10">
        <v>0</v>
      </c>
      <c r="Y10">
        <v>0</v>
      </c>
      <c r="Z10" t="s">
        <v>27</v>
      </c>
      <c r="AA10" s="6" t="s">
        <v>27</v>
      </c>
      <c r="AB10" t="s">
        <v>27</v>
      </c>
      <c r="AC10" s="2" t="s">
        <v>30</v>
      </c>
      <c r="AD10" t="s">
        <v>52</v>
      </c>
      <c r="AE10" s="1">
        <v>3</v>
      </c>
      <c r="AF10" s="13">
        <v>45105</v>
      </c>
      <c r="AG10">
        <v>14</v>
      </c>
      <c r="AH10">
        <v>2</v>
      </c>
      <c r="AI10">
        <v>16</v>
      </c>
      <c r="AJ10" t="s">
        <v>33</v>
      </c>
      <c r="AK10" s="6" t="s">
        <v>33</v>
      </c>
      <c r="AL10" t="s">
        <v>27</v>
      </c>
      <c r="AN10" t="s">
        <v>52</v>
      </c>
      <c r="AO10" s="1">
        <v>4</v>
      </c>
      <c r="AP10" s="13">
        <v>45112</v>
      </c>
      <c r="AQ10">
        <v>5</v>
      </c>
      <c r="AR10">
        <v>1</v>
      </c>
      <c r="AS10">
        <v>6</v>
      </c>
      <c r="AT10" t="s">
        <v>33</v>
      </c>
      <c r="AU10" s="6" t="s">
        <v>33</v>
      </c>
      <c r="AV10" t="s">
        <v>27</v>
      </c>
      <c r="AX10" t="s">
        <v>52</v>
      </c>
      <c r="AY10" s="1">
        <v>5</v>
      </c>
      <c r="AZ10" s="13">
        <v>45119</v>
      </c>
      <c r="BA10">
        <v>0</v>
      </c>
      <c r="BB10">
        <v>0</v>
      </c>
      <c r="BC10">
        <v>0</v>
      </c>
      <c r="BD10" t="s">
        <v>27</v>
      </c>
      <c r="BE10" s="6" t="s">
        <v>27</v>
      </c>
      <c r="BF10" t="s">
        <v>27</v>
      </c>
      <c r="BH10" t="s">
        <v>52</v>
      </c>
      <c r="BI10" s="1">
        <v>6</v>
      </c>
      <c r="BJ10" s="13">
        <v>45126</v>
      </c>
      <c r="BK10">
        <v>9</v>
      </c>
      <c r="BL10">
        <v>2</v>
      </c>
      <c r="BM10">
        <v>11</v>
      </c>
      <c r="BN10" t="s">
        <v>33</v>
      </c>
      <c r="BO10" s="6" t="s">
        <v>33</v>
      </c>
      <c r="BP10" t="s">
        <v>27</v>
      </c>
      <c r="BR10" t="s">
        <v>52</v>
      </c>
      <c r="BS10" s="1">
        <v>7</v>
      </c>
      <c r="BT10" s="13">
        <v>45133</v>
      </c>
      <c r="BU10">
        <v>9</v>
      </c>
      <c r="BV10">
        <v>3</v>
      </c>
      <c r="BW10">
        <v>12</v>
      </c>
      <c r="BX10" s="51" t="s">
        <v>33</v>
      </c>
      <c r="BY10" s="51" t="s">
        <v>33</v>
      </c>
      <c r="BZ10" s="51" t="s">
        <v>27</v>
      </c>
      <c r="CC10" s="37" t="s">
        <v>52</v>
      </c>
      <c r="CD10" s="35">
        <f t="shared" si="0"/>
        <v>45</v>
      </c>
      <c r="CF10" s="25" t="s">
        <v>54</v>
      </c>
      <c r="CG10" s="25" t="s">
        <v>21</v>
      </c>
      <c r="CH10" s="25" t="s">
        <v>55</v>
      </c>
      <c r="CI10" s="25" t="s">
        <v>56</v>
      </c>
      <c r="CJ10" s="25" t="s">
        <v>57</v>
      </c>
    </row>
    <row r="11" spans="1:88" ht="14.4" x14ac:dyDescent="0.3">
      <c r="A11" t="s">
        <v>58</v>
      </c>
      <c r="B11" t="s">
        <v>59</v>
      </c>
      <c r="C11">
        <v>32.37021</v>
      </c>
      <c r="D11">
        <v>-83.541529999999995</v>
      </c>
      <c r="E11" s="13">
        <v>45084</v>
      </c>
      <c r="F11" s="13">
        <v>45084</v>
      </c>
      <c r="H11" s="1" t="s">
        <v>25</v>
      </c>
      <c r="I11" s="12" t="s">
        <v>26</v>
      </c>
      <c r="J11" t="s">
        <v>58</v>
      </c>
      <c r="K11" s="6">
        <v>1</v>
      </c>
      <c r="L11" s="13">
        <v>45091</v>
      </c>
      <c r="M11">
        <v>0</v>
      </c>
      <c r="N11">
        <v>0</v>
      </c>
      <c r="O11">
        <v>0</v>
      </c>
      <c r="P11" t="s">
        <v>27</v>
      </c>
      <c r="Q11" s="6" t="s">
        <v>27</v>
      </c>
      <c r="R11" s="6" t="s">
        <v>27</v>
      </c>
      <c r="S11" s="2"/>
      <c r="T11" t="s">
        <v>58</v>
      </c>
      <c r="U11" s="6">
        <v>2</v>
      </c>
      <c r="V11" s="13">
        <v>45098</v>
      </c>
      <c r="W11">
        <v>0</v>
      </c>
      <c r="X11">
        <v>0</v>
      </c>
      <c r="Y11">
        <v>0</v>
      </c>
      <c r="Z11" t="s">
        <v>27</v>
      </c>
      <c r="AA11" s="6" t="s">
        <v>27</v>
      </c>
      <c r="AB11" t="s">
        <v>27</v>
      </c>
      <c r="AD11" t="s">
        <v>58</v>
      </c>
      <c r="AE11" s="1">
        <v>3</v>
      </c>
      <c r="AF11" s="13">
        <v>45105</v>
      </c>
      <c r="AG11">
        <v>0</v>
      </c>
      <c r="AH11">
        <v>0</v>
      </c>
      <c r="AI11">
        <v>0</v>
      </c>
      <c r="AJ11" t="s">
        <v>27</v>
      </c>
      <c r="AK11" s="6" t="s">
        <v>27</v>
      </c>
      <c r="AL11" t="s">
        <v>27</v>
      </c>
      <c r="AN11" t="s">
        <v>58</v>
      </c>
      <c r="AO11" s="1">
        <v>4</v>
      </c>
      <c r="AP11" s="13">
        <v>45112</v>
      </c>
      <c r="AQ11">
        <v>2</v>
      </c>
      <c r="AR11">
        <v>3</v>
      </c>
      <c r="AS11">
        <v>5</v>
      </c>
      <c r="AT11" t="s">
        <v>33</v>
      </c>
      <c r="AU11" s="6" t="s">
        <v>33</v>
      </c>
      <c r="AV11" t="s">
        <v>27</v>
      </c>
      <c r="AX11" t="s">
        <v>58</v>
      </c>
      <c r="AY11" s="1">
        <v>5</v>
      </c>
      <c r="AZ11" s="13">
        <v>45119</v>
      </c>
      <c r="BA11">
        <v>0</v>
      </c>
      <c r="BB11">
        <v>0</v>
      </c>
      <c r="BC11">
        <v>0</v>
      </c>
      <c r="BD11" t="s">
        <v>27</v>
      </c>
      <c r="BE11" s="6" t="s">
        <v>27</v>
      </c>
      <c r="BF11" t="s">
        <v>27</v>
      </c>
      <c r="BH11" t="s">
        <v>58</v>
      </c>
      <c r="BI11" s="1">
        <v>6</v>
      </c>
      <c r="BJ11" s="13">
        <v>45126</v>
      </c>
      <c r="BK11">
        <v>0</v>
      </c>
      <c r="BL11">
        <v>0</v>
      </c>
      <c r="BM11">
        <v>0</v>
      </c>
      <c r="BN11" t="s">
        <v>27</v>
      </c>
      <c r="BO11" s="6" t="s">
        <v>27</v>
      </c>
      <c r="BP11" t="s">
        <v>27</v>
      </c>
      <c r="BR11" t="s">
        <v>58</v>
      </c>
      <c r="BS11" s="1">
        <v>7</v>
      </c>
      <c r="BT11" s="13">
        <v>45133</v>
      </c>
      <c r="BU11">
        <v>0</v>
      </c>
      <c r="BV11">
        <v>0</v>
      </c>
      <c r="BW11">
        <v>0</v>
      </c>
      <c r="BX11" s="51" t="s">
        <v>27</v>
      </c>
      <c r="BY11" s="51" t="s">
        <v>27</v>
      </c>
      <c r="BZ11" s="51" t="s">
        <v>27</v>
      </c>
      <c r="CC11" s="37" t="s">
        <v>58</v>
      </c>
      <c r="CD11" s="35">
        <f t="shared" si="0"/>
        <v>5</v>
      </c>
      <c r="CF11" s="28" t="s">
        <v>60</v>
      </c>
      <c r="CG11" s="29">
        <f>SUM(CD20:CD21)</f>
        <v>0</v>
      </c>
      <c r="CH11" s="29">
        <f>COUNTIF(CD20:CD21,"&lt;&gt;")</f>
        <v>2</v>
      </c>
      <c r="CI11" s="29">
        <f>COUNTIF(CD20:CD21,"&gt;0")</f>
        <v>0</v>
      </c>
      <c r="CJ11" s="41">
        <f t="shared" ref="CJ11:CJ28" si="1">(CI11/CH11)*100</f>
        <v>0</v>
      </c>
    </row>
    <row r="12" spans="1:88" ht="14.4" x14ac:dyDescent="0.3">
      <c r="A12" t="s">
        <v>61</v>
      </c>
      <c r="B12" t="s">
        <v>53</v>
      </c>
      <c r="C12">
        <v>32.387450000000001</v>
      </c>
      <c r="D12">
        <v>-83.578770000000006</v>
      </c>
      <c r="E12" s="13">
        <v>45076</v>
      </c>
      <c r="F12" s="13">
        <v>45084</v>
      </c>
      <c r="H12" s="1" t="s">
        <v>25</v>
      </c>
      <c r="I12" s="12" t="s">
        <v>26</v>
      </c>
      <c r="J12" t="s">
        <v>61</v>
      </c>
      <c r="K12" s="6">
        <v>1</v>
      </c>
      <c r="L12" s="13">
        <v>45092</v>
      </c>
      <c r="M12">
        <v>0</v>
      </c>
      <c r="N12">
        <v>0</v>
      </c>
      <c r="O12">
        <v>0</v>
      </c>
      <c r="P12" t="s">
        <v>27</v>
      </c>
      <c r="Q12" s="6" t="s">
        <v>27</v>
      </c>
      <c r="R12" s="6" t="s">
        <v>27</v>
      </c>
      <c r="S12" s="2" t="s">
        <v>29</v>
      </c>
      <c r="T12" t="s">
        <v>61</v>
      </c>
      <c r="U12" s="6">
        <v>2</v>
      </c>
      <c r="V12" s="13">
        <v>45098</v>
      </c>
      <c r="W12">
        <v>0</v>
      </c>
      <c r="X12">
        <v>0</v>
      </c>
      <c r="Y12">
        <v>0</v>
      </c>
      <c r="Z12" t="s">
        <v>27</v>
      </c>
      <c r="AA12" s="6" t="s">
        <v>27</v>
      </c>
      <c r="AB12" t="s">
        <v>27</v>
      </c>
      <c r="AC12" s="2" t="s">
        <v>30</v>
      </c>
      <c r="AD12" t="s">
        <v>61</v>
      </c>
      <c r="AE12" s="1">
        <v>3</v>
      </c>
      <c r="AF12" s="13">
        <v>45105</v>
      </c>
      <c r="AG12">
        <v>0</v>
      </c>
      <c r="AH12">
        <v>0</v>
      </c>
      <c r="AI12">
        <v>0</v>
      </c>
      <c r="AJ12" t="s">
        <v>27</v>
      </c>
      <c r="AK12" s="6" t="s">
        <v>27</v>
      </c>
      <c r="AL12" t="s">
        <v>27</v>
      </c>
      <c r="AN12" t="s">
        <v>61</v>
      </c>
      <c r="AO12" s="1">
        <v>4</v>
      </c>
      <c r="AP12" s="13">
        <v>45112</v>
      </c>
      <c r="AQ12">
        <v>0</v>
      </c>
      <c r="AR12">
        <v>0</v>
      </c>
      <c r="AS12">
        <v>0</v>
      </c>
      <c r="AT12" t="s">
        <v>27</v>
      </c>
      <c r="AU12" s="6" t="s">
        <v>27</v>
      </c>
      <c r="AV12" t="s">
        <v>27</v>
      </c>
      <c r="AX12" t="s">
        <v>61</v>
      </c>
      <c r="AY12" s="1">
        <v>5</v>
      </c>
      <c r="AZ12" s="13">
        <v>45119</v>
      </c>
      <c r="BA12">
        <v>0</v>
      </c>
      <c r="BB12">
        <v>0</v>
      </c>
      <c r="BC12">
        <v>0</v>
      </c>
      <c r="BD12" t="s">
        <v>27</v>
      </c>
      <c r="BE12" s="6" t="s">
        <v>27</v>
      </c>
      <c r="BF12" t="s">
        <v>27</v>
      </c>
      <c r="BH12" t="s">
        <v>61</v>
      </c>
      <c r="BI12" s="1">
        <v>6</v>
      </c>
      <c r="BJ12" s="13">
        <v>45126</v>
      </c>
      <c r="BK12">
        <v>0</v>
      </c>
      <c r="BL12">
        <v>0</v>
      </c>
      <c r="BM12">
        <v>0</v>
      </c>
      <c r="BN12" t="s">
        <v>27</v>
      </c>
      <c r="BO12" s="6" t="s">
        <v>27</v>
      </c>
      <c r="BP12" t="s">
        <v>27</v>
      </c>
      <c r="BR12" s="53" t="s">
        <v>61</v>
      </c>
      <c r="BS12" s="54">
        <v>7</v>
      </c>
      <c r="BT12" s="55">
        <v>45133</v>
      </c>
      <c r="BU12" s="53">
        <v>2</v>
      </c>
      <c r="BV12" s="53">
        <v>0</v>
      </c>
      <c r="BW12" s="53">
        <v>2</v>
      </c>
      <c r="BX12" s="53" t="s">
        <v>33</v>
      </c>
      <c r="BY12" s="53" t="s">
        <v>33</v>
      </c>
      <c r="BZ12" s="53" t="s">
        <v>27</v>
      </c>
      <c r="CC12" s="37" t="s">
        <v>61</v>
      </c>
      <c r="CD12" s="35">
        <f t="shared" si="0"/>
        <v>2</v>
      </c>
      <c r="CF12" s="28" t="s">
        <v>62</v>
      </c>
      <c r="CG12" s="29">
        <f>SUM(CD110:CD111)</f>
        <v>27</v>
      </c>
      <c r="CH12" s="29">
        <f>COUNTIF(CD110:CD111,"&lt;&gt;")</f>
        <v>2</v>
      </c>
      <c r="CI12" s="29">
        <f>COUNTIF(CD110:CD111,"&gt;0")</f>
        <v>2</v>
      </c>
      <c r="CJ12" s="41">
        <f t="shared" si="1"/>
        <v>100</v>
      </c>
    </row>
    <row r="13" spans="1:88" ht="14.4" x14ac:dyDescent="0.3">
      <c r="A13" t="s">
        <v>63</v>
      </c>
      <c r="B13" t="s">
        <v>53</v>
      </c>
      <c r="C13">
        <v>32.390729999999998</v>
      </c>
      <c r="D13">
        <v>-83.568280000000001</v>
      </c>
      <c r="E13" s="13">
        <v>45080</v>
      </c>
      <c r="F13" s="13">
        <v>45084</v>
      </c>
      <c r="H13" s="1" t="s">
        <v>25</v>
      </c>
      <c r="I13" s="12" t="s">
        <v>26</v>
      </c>
      <c r="J13" t="s">
        <v>63</v>
      </c>
      <c r="K13" s="6">
        <v>1</v>
      </c>
      <c r="L13" s="13">
        <v>45092</v>
      </c>
      <c r="M13">
        <v>3</v>
      </c>
      <c r="N13">
        <v>4</v>
      </c>
      <c r="O13">
        <v>7</v>
      </c>
      <c r="P13" t="s">
        <v>33</v>
      </c>
      <c r="Q13" s="6" t="s">
        <v>27</v>
      </c>
      <c r="R13" s="6" t="s">
        <v>45</v>
      </c>
      <c r="S13" s="2" t="s">
        <v>29</v>
      </c>
      <c r="T13" t="s">
        <v>63</v>
      </c>
      <c r="U13" s="6">
        <v>2</v>
      </c>
      <c r="V13" s="13">
        <v>45098</v>
      </c>
      <c r="W13">
        <v>0</v>
      </c>
      <c r="X13">
        <v>0</v>
      </c>
      <c r="Y13">
        <v>0</v>
      </c>
      <c r="Z13" t="s">
        <v>27</v>
      </c>
      <c r="AA13" s="6" t="s">
        <v>27</v>
      </c>
      <c r="AB13" t="s">
        <v>27</v>
      </c>
      <c r="AC13" s="2" t="s">
        <v>30</v>
      </c>
      <c r="AD13" t="s">
        <v>63</v>
      </c>
      <c r="AE13" s="1">
        <v>3</v>
      </c>
      <c r="AF13" s="13">
        <v>45105</v>
      </c>
      <c r="AG13">
        <v>13</v>
      </c>
      <c r="AH13">
        <v>8</v>
      </c>
      <c r="AI13">
        <v>21</v>
      </c>
      <c r="AJ13" t="s">
        <v>33</v>
      </c>
      <c r="AK13" s="6" t="s">
        <v>33</v>
      </c>
      <c r="AL13" t="s">
        <v>27</v>
      </c>
      <c r="AN13" t="s">
        <v>63</v>
      </c>
      <c r="AO13" s="1">
        <v>4</v>
      </c>
      <c r="AP13" s="13">
        <v>45112</v>
      </c>
      <c r="AQ13">
        <v>0</v>
      </c>
      <c r="AR13">
        <v>0</v>
      </c>
      <c r="AS13">
        <v>0</v>
      </c>
      <c r="AT13" t="s">
        <v>33</v>
      </c>
      <c r="AU13" s="6" t="s">
        <v>33</v>
      </c>
      <c r="AV13" t="s">
        <v>27</v>
      </c>
      <c r="AW13" s="2" t="s">
        <v>64</v>
      </c>
      <c r="AX13" t="s">
        <v>63</v>
      </c>
      <c r="AY13" s="1">
        <v>5</v>
      </c>
      <c r="AZ13" s="13">
        <v>45119</v>
      </c>
      <c r="BA13">
        <v>0</v>
      </c>
      <c r="BB13">
        <v>0</v>
      </c>
      <c r="BC13">
        <v>0</v>
      </c>
      <c r="BD13" t="s">
        <v>33</v>
      </c>
      <c r="BE13" s="6" t="s">
        <v>33</v>
      </c>
      <c r="BF13" t="s">
        <v>27</v>
      </c>
      <c r="BG13" s="2" t="s">
        <v>65</v>
      </c>
      <c r="BH13" t="s">
        <v>63</v>
      </c>
      <c r="BI13" s="1">
        <v>6</v>
      </c>
      <c r="BJ13" s="13">
        <v>45126</v>
      </c>
      <c r="BK13">
        <v>14</v>
      </c>
      <c r="BL13">
        <v>7</v>
      </c>
      <c r="BM13">
        <v>21</v>
      </c>
      <c r="BN13" t="s">
        <v>33</v>
      </c>
      <c r="BO13" s="6" t="s">
        <v>33</v>
      </c>
      <c r="BP13" t="s">
        <v>27</v>
      </c>
      <c r="BR13" t="s">
        <v>63</v>
      </c>
      <c r="BS13" s="1">
        <v>7</v>
      </c>
      <c r="BT13" s="13">
        <v>45133</v>
      </c>
      <c r="BU13">
        <v>1</v>
      </c>
      <c r="BV13">
        <v>1</v>
      </c>
      <c r="BW13">
        <v>2</v>
      </c>
      <c r="BX13" s="51" t="s">
        <v>33</v>
      </c>
      <c r="BY13" s="51" t="s">
        <v>33</v>
      </c>
      <c r="BZ13" s="51" t="s">
        <v>27</v>
      </c>
      <c r="CC13" s="37" t="s">
        <v>63</v>
      </c>
      <c r="CD13" s="35">
        <f t="shared" si="0"/>
        <v>51</v>
      </c>
      <c r="CF13" s="28" t="s">
        <v>66</v>
      </c>
      <c r="CG13" s="29">
        <f>SUM(CD84)</f>
        <v>0</v>
      </c>
      <c r="CH13" s="29">
        <f>COUNTIF(CD84,"&lt;&gt;")</f>
        <v>1</v>
      </c>
      <c r="CI13" s="29">
        <f>COUNTIF(CD84,"&gt;0")</f>
        <v>0</v>
      </c>
      <c r="CJ13" s="41">
        <f t="shared" si="1"/>
        <v>0</v>
      </c>
    </row>
    <row r="14" spans="1:88" ht="14.4" x14ac:dyDescent="0.3">
      <c r="A14" t="s">
        <v>67</v>
      </c>
      <c r="B14" s="24" t="s">
        <v>59</v>
      </c>
      <c r="C14" s="21">
        <v>32.385599999999997</v>
      </c>
      <c r="D14">
        <v>-83.552660000000003</v>
      </c>
      <c r="E14" s="13">
        <v>45064</v>
      </c>
      <c r="F14" s="13">
        <v>45084</v>
      </c>
      <c r="H14" s="1" t="s">
        <v>25</v>
      </c>
      <c r="I14" s="12" t="s">
        <v>26</v>
      </c>
      <c r="J14" t="s">
        <v>67</v>
      </c>
      <c r="K14" s="6">
        <v>1</v>
      </c>
      <c r="L14" s="13">
        <v>45091</v>
      </c>
      <c r="M14">
        <v>0</v>
      </c>
      <c r="N14">
        <v>0</v>
      </c>
      <c r="O14">
        <v>0</v>
      </c>
      <c r="P14" t="s">
        <v>27</v>
      </c>
      <c r="Q14" s="6" t="s">
        <v>27</v>
      </c>
      <c r="R14" s="6" t="s">
        <v>27</v>
      </c>
      <c r="S14" s="2"/>
      <c r="T14" t="s">
        <v>67</v>
      </c>
      <c r="U14" s="6">
        <v>2</v>
      </c>
      <c r="V14" s="13">
        <v>45098</v>
      </c>
      <c r="W14">
        <v>0</v>
      </c>
      <c r="X14">
        <v>0</v>
      </c>
      <c r="Y14">
        <v>0</v>
      </c>
      <c r="Z14" t="s">
        <v>27</v>
      </c>
      <c r="AA14" s="6" t="s">
        <v>27</v>
      </c>
      <c r="AB14" t="s">
        <v>27</v>
      </c>
      <c r="AD14" t="s">
        <v>67</v>
      </c>
      <c r="AE14" s="1">
        <v>3</v>
      </c>
      <c r="AF14" s="13">
        <v>45105</v>
      </c>
      <c r="AG14">
        <v>0</v>
      </c>
      <c r="AH14">
        <v>0</v>
      </c>
      <c r="AI14">
        <v>0</v>
      </c>
      <c r="AJ14" t="s">
        <v>27</v>
      </c>
      <c r="AK14" s="6" t="s">
        <v>27</v>
      </c>
      <c r="AL14" t="s">
        <v>27</v>
      </c>
      <c r="AN14" t="s">
        <v>67</v>
      </c>
      <c r="AO14" s="1">
        <v>4</v>
      </c>
      <c r="AP14" s="13">
        <v>45112</v>
      </c>
      <c r="AQ14">
        <v>0</v>
      </c>
      <c r="AR14">
        <v>0</v>
      </c>
      <c r="AS14">
        <v>0</v>
      </c>
      <c r="AT14" t="s">
        <v>27</v>
      </c>
      <c r="AU14" s="6" t="s">
        <v>27</v>
      </c>
      <c r="AV14" t="s">
        <v>27</v>
      </c>
      <c r="AX14" t="s">
        <v>67</v>
      </c>
      <c r="AY14" s="1">
        <v>5</v>
      </c>
      <c r="AZ14" s="13">
        <v>45119</v>
      </c>
      <c r="BA14">
        <v>0</v>
      </c>
      <c r="BB14">
        <v>0</v>
      </c>
      <c r="BC14">
        <v>0</v>
      </c>
      <c r="BD14" t="s">
        <v>27</v>
      </c>
      <c r="BE14" s="6" t="s">
        <v>27</v>
      </c>
      <c r="BF14" t="s">
        <v>27</v>
      </c>
      <c r="BH14" t="s">
        <v>67</v>
      </c>
      <c r="BI14" s="1">
        <v>6</v>
      </c>
      <c r="BJ14" s="13">
        <v>45126</v>
      </c>
      <c r="BK14">
        <v>0</v>
      </c>
      <c r="BL14">
        <v>0</v>
      </c>
      <c r="BM14">
        <v>0</v>
      </c>
      <c r="BN14" t="s">
        <v>27</v>
      </c>
      <c r="BO14" s="6" t="s">
        <v>27</v>
      </c>
      <c r="BP14" t="s">
        <v>27</v>
      </c>
      <c r="BR14" t="s">
        <v>67</v>
      </c>
      <c r="BS14" s="1">
        <v>7</v>
      </c>
      <c r="BT14" s="13">
        <v>45133</v>
      </c>
      <c r="BU14">
        <v>0</v>
      </c>
      <c r="BV14">
        <v>0</v>
      </c>
      <c r="BW14">
        <v>0</v>
      </c>
      <c r="BX14" s="51" t="s">
        <v>27</v>
      </c>
      <c r="BY14" s="51" t="s">
        <v>27</v>
      </c>
      <c r="BZ14" s="51" t="s">
        <v>27</v>
      </c>
      <c r="CC14" s="37" t="s">
        <v>67</v>
      </c>
      <c r="CD14" s="35">
        <f t="shared" si="0"/>
        <v>0</v>
      </c>
      <c r="CF14" s="28" t="s">
        <v>24</v>
      </c>
      <c r="CG14" s="29">
        <f>SUM(CD2:CD9)</f>
        <v>102</v>
      </c>
      <c r="CH14" s="29">
        <f>COUNTIF(CD2:CD9,"&lt;&gt;")</f>
        <v>8</v>
      </c>
      <c r="CI14" s="29">
        <f>COUNTIF(CD2:CD9,"&gt;0")</f>
        <v>7</v>
      </c>
      <c r="CJ14" s="41">
        <f t="shared" si="1"/>
        <v>87.5</v>
      </c>
    </row>
    <row r="15" spans="1:88" ht="14.4" x14ac:dyDescent="0.3">
      <c r="A15" t="s">
        <v>68</v>
      </c>
      <c r="B15" s="24" t="s">
        <v>59</v>
      </c>
      <c r="C15">
        <v>32.390549999999998</v>
      </c>
      <c r="D15">
        <v>-83.536420000000007</v>
      </c>
      <c r="E15" s="13">
        <v>45076</v>
      </c>
      <c r="F15" s="13">
        <v>45084</v>
      </c>
      <c r="H15" s="1" t="s">
        <v>25</v>
      </c>
      <c r="I15" s="12" t="s">
        <v>26</v>
      </c>
      <c r="J15" t="s">
        <v>68</v>
      </c>
      <c r="K15" s="6">
        <v>1</v>
      </c>
      <c r="L15" s="13">
        <v>45091</v>
      </c>
      <c r="M15">
        <v>0</v>
      </c>
      <c r="N15">
        <v>0</v>
      </c>
      <c r="O15">
        <v>0</v>
      </c>
      <c r="P15" t="s">
        <v>27</v>
      </c>
      <c r="Q15" s="6" t="s">
        <v>27</v>
      </c>
      <c r="R15" s="6" t="s">
        <v>27</v>
      </c>
      <c r="S15" s="2"/>
      <c r="T15" t="s">
        <v>68</v>
      </c>
      <c r="U15" s="6">
        <v>2</v>
      </c>
      <c r="V15" s="13">
        <v>45098</v>
      </c>
      <c r="W15">
        <v>0</v>
      </c>
      <c r="X15">
        <v>0</v>
      </c>
      <c r="Y15">
        <v>0</v>
      </c>
      <c r="Z15" t="s">
        <v>27</v>
      </c>
      <c r="AA15" s="6" t="s">
        <v>27</v>
      </c>
      <c r="AB15" t="s">
        <v>27</v>
      </c>
      <c r="AD15" t="s">
        <v>68</v>
      </c>
      <c r="AE15" s="1">
        <v>3</v>
      </c>
      <c r="AF15" s="13">
        <v>45105</v>
      </c>
      <c r="AG15">
        <v>0</v>
      </c>
      <c r="AH15">
        <v>0</v>
      </c>
      <c r="AI15">
        <v>0</v>
      </c>
      <c r="AJ15" t="s">
        <v>27</v>
      </c>
      <c r="AK15" s="6" t="s">
        <v>27</v>
      </c>
      <c r="AL15" t="s">
        <v>27</v>
      </c>
      <c r="AN15" t="s">
        <v>68</v>
      </c>
      <c r="AO15" s="1">
        <v>4</v>
      </c>
      <c r="AP15" s="13">
        <v>45112</v>
      </c>
      <c r="AQ15">
        <v>0</v>
      </c>
      <c r="AR15">
        <v>0</v>
      </c>
      <c r="AS15">
        <v>0</v>
      </c>
      <c r="AT15" t="s">
        <v>27</v>
      </c>
      <c r="AU15" s="6" t="s">
        <v>27</v>
      </c>
      <c r="AV15" t="s">
        <v>27</v>
      </c>
      <c r="AX15" t="s">
        <v>68</v>
      </c>
      <c r="AY15" s="1">
        <v>5</v>
      </c>
      <c r="AZ15" s="13">
        <v>45119</v>
      </c>
      <c r="BA15">
        <v>0</v>
      </c>
      <c r="BB15">
        <v>0</v>
      </c>
      <c r="BC15">
        <v>0</v>
      </c>
      <c r="BD15" t="s">
        <v>27</v>
      </c>
      <c r="BE15" s="6" t="s">
        <v>27</v>
      </c>
      <c r="BF15" t="s">
        <v>27</v>
      </c>
      <c r="BH15" t="s">
        <v>68</v>
      </c>
      <c r="BI15" s="1">
        <v>6</v>
      </c>
      <c r="BJ15" s="13">
        <v>45126</v>
      </c>
      <c r="BK15">
        <v>0</v>
      </c>
      <c r="BL15">
        <v>0</v>
      </c>
      <c r="BM15">
        <v>0</v>
      </c>
      <c r="BN15" t="s">
        <v>27</v>
      </c>
      <c r="BO15" s="6" t="s">
        <v>27</v>
      </c>
      <c r="BP15" t="s">
        <v>27</v>
      </c>
      <c r="BR15" t="s">
        <v>68</v>
      </c>
      <c r="BS15" s="1">
        <v>7</v>
      </c>
      <c r="BT15" s="13">
        <v>45133</v>
      </c>
      <c r="BU15">
        <v>0</v>
      </c>
      <c r="BV15">
        <v>0</v>
      </c>
      <c r="BW15">
        <v>0</v>
      </c>
      <c r="BX15" s="51" t="s">
        <v>27</v>
      </c>
      <c r="BY15" s="51" t="s">
        <v>27</v>
      </c>
      <c r="BZ15" s="51" t="s">
        <v>27</v>
      </c>
      <c r="CC15" s="37" t="s">
        <v>68</v>
      </c>
      <c r="CD15" s="35">
        <f t="shared" si="0"/>
        <v>0</v>
      </c>
      <c r="CF15" s="28" t="s">
        <v>69</v>
      </c>
      <c r="CG15" s="29">
        <f>SUM(CD102:CD107)</f>
        <v>94</v>
      </c>
      <c r="CH15" s="29">
        <f>COUNTIF(CD102:CD107,"&lt;&gt;")</f>
        <v>6</v>
      </c>
      <c r="CI15" s="29">
        <f>COUNTIF(CD102:CD107,"&gt;0")</f>
        <v>4</v>
      </c>
      <c r="CJ15" s="41">
        <f t="shared" si="1"/>
        <v>66.666666666666657</v>
      </c>
    </row>
    <row r="16" spans="1:88" ht="14.4" x14ac:dyDescent="0.3">
      <c r="A16" t="s">
        <v>70</v>
      </c>
      <c r="B16" t="s">
        <v>71</v>
      </c>
      <c r="C16">
        <v>32.400230000000001</v>
      </c>
      <c r="D16">
        <v>-83.557609999999997</v>
      </c>
      <c r="E16" s="13">
        <v>45064</v>
      </c>
      <c r="F16" s="13">
        <v>45084</v>
      </c>
      <c r="H16" s="1" t="s">
        <v>25</v>
      </c>
      <c r="I16" s="12" t="s">
        <v>26</v>
      </c>
      <c r="J16" t="s">
        <v>70</v>
      </c>
      <c r="K16" s="6">
        <v>1</v>
      </c>
      <c r="L16" s="13">
        <v>45091</v>
      </c>
      <c r="M16">
        <v>0</v>
      </c>
      <c r="N16">
        <v>0</v>
      </c>
      <c r="O16">
        <v>0</v>
      </c>
      <c r="P16" t="s">
        <v>27</v>
      </c>
      <c r="Q16" s="6" t="s">
        <v>27</v>
      </c>
      <c r="R16" s="6" t="s">
        <v>27</v>
      </c>
      <c r="S16" s="2"/>
      <c r="T16" t="s">
        <v>70</v>
      </c>
      <c r="U16" s="6">
        <v>2</v>
      </c>
      <c r="V16" s="13">
        <v>45098</v>
      </c>
      <c r="W16">
        <v>0</v>
      </c>
      <c r="X16">
        <v>0</v>
      </c>
      <c r="Y16">
        <v>0</v>
      </c>
      <c r="Z16" t="s">
        <v>27</v>
      </c>
      <c r="AA16" s="6" t="s">
        <v>27</v>
      </c>
      <c r="AB16" t="s">
        <v>27</v>
      </c>
      <c r="AD16" t="s">
        <v>70</v>
      </c>
      <c r="AE16" s="1">
        <v>3</v>
      </c>
      <c r="AF16" s="13">
        <v>45105</v>
      </c>
      <c r="AG16">
        <v>0</v>
      </c>
      <c r="AH16">
        <v>0</v>
      </c>
      <c r="AI16">
        <v>0</v>
      </c>
      <c r="AJ16" t="s">
        <v>27</v>
      </c>
      <c r="AK16" s="6" t="s">
        <v>27</v>
      </c>
      <c r="AL16" t="s">
        <v>27</v>
      </c>
      <c r="AN16" t="s">
        <v>70</v>
      </c>
      <c r="AO16" s="1">
        <v>4</v>
      </c>
      <c r="AP16" s="13">
        <v>45112</v>
      </c>
      <c r="AQ16">
        <v>0</v>
      </c>
      <c r="AR16">
        <v>0</v>
      </c>
      <c r="AS16">
        <v>0</v>
      </c>
      <c r="AT16" t="s">
        <v>27</v>
      </c>
      <c r="AU16" s="6" t="s">
        <v>27</v>
      </c>
      <c r="AV16" t="s">
        <v>27</v>
      </c>
      <c r="AX16" t="s">
        <v>70</v>
      </c>
      <c r="AY16" s="1">
        <v>5</v>
      </c>
      <c r="AZ16" s="13">
        <v>45119</v>
      </c>
      <c r="BA16">
        <v>0</v>
      </c>
      <c r="BB16">
        <v>0</v>
      </c>
      <c r="BC16">
        <v>0</v>
      </c>
      <c r="BD16" t="s">
        <v>27</v>
      </c>
      <c r="BE16" s="6" t="s">
        <v>27</v>
      </c>
      <c r="BF16" t="s">
        <v>27</v>
      </c>
      <c r="BH16" t="s">
        <v>70</v>
      </c>
      <c r="BI16" s="1">
        <v>6</v>
      </c>
      <c r="BJ16" s="13">
        <v>45126</v>
      </c>
      <c r="BK16">
        <v>0</v>
      </c>
      <c r="BL16">
        <v>0</v>
      </c>
      <c r="BM16">
        <v>0</v>
      </c>
      <c r="BN16" t="s">
        <v>27</v>
      </c>
      <c r="BO16" s="6" t="s">
        <v>27</v>
      </c>
      <c r="BP16" t="s">
        <v>27</v>
      </c>
      <c r="BR16" t="s">
        <v>70</v>
      </c>
      <c r="BS16" s="1">
        <v>7</v>
      </c>
      <c r="BT16" s="13">
        <v>45133</v>
      </c>
      <c r="BU16">
        <v>0</v>
      </c>
      <c r="BV16">
        <v>0</v>
      </c>
      <c r="BW16">
        <v>0</v>
      </c>
      <c r="BX16" s="51" t="s">
        <v>27</v>
      </c>
      <c r="BY16" s="51" t="s">
        <v>27</v>
      </c>
      <c r="BZ16" s="51" t="s">
        <v>27</v>
      </c>
      <c r="CC16" s="37" t="s">
        <v>70</v>
      </c>
      <c r="CD16" s="35">
        <f t="shared" si="0"/>
        <v>0</v>
      </c>
      <c r="CF16" s="28" t="s">
        <v>72</v>
      </c>
      <c r="CG16" s="29">
        <f>SUM(CD108)</f>
        <v>9</v>
      </c>
      <c r="CH16" s="29">
        <f>COUNTIF(CD108,"&lt;&gt;")</f>
        <v>1</v>
      </c>
      <c r="CI16" s="29">
        <f>COUNTIF(CD108,"&gt;0")</f>
        <v>1</v>
      </c>
      <c r="CJ16" s="41">
        <f t="shared" si="1"/>
        <v>100</v>
      </c>
    </row>
    <row r="17" spans="1:88" ht="14.4" x14ac:dyDescent="0.3">
      <c r="A17" t="s">
        <v>73</v>
      </c>
      <c r="B17" s="24" t="s">
        <v>71</v>
      </c>
      <c r="C17">
        <v>32.397820000000003</v>
      </c>
      <c r="D17">
        <v>-83.535820000000001</v>
      </c>
      <c r="E17" s="13">
        <v>45076</v>
      </c>
      <c r="F17" s="13">
        <v>45084</v>
      </c>
      <c r="H17" s="1" t="s">
        <v>25</v>
      </c>
      <c r="I17" s="12" t="s">
        <v>26</v>
      </c>
      <c r="J17" t="s">
        <v>73</v>
      </c>
      <c r="K17" s="6">
        <v>1</v>
      </c>
      <c r="L17" s="13">
        <v>45091</v>
      </c>
      <c r="M17">
        <v>0</v>
      </c>
      <c r="N17">
        <v>0</v>
      </c>
      <c r="O17">
        <v>0</v>
      </c>
      <c r="P17" t="s">
        <v>27</v>
      </c>
      <c r="Q17" s="6" t="s">
        <v>27</v>
      </c>
      <c r="R17" s="6" t="s">
        <v>27</v>
      </c>
      <c r="S17" s="2"/>
      <c r="T17" t="s">
        <v>73</v>
      </c>
      <c r="U17" s="6">
        <v>2</v>
      </c>
      <c r="V17" s="13">
        <v>45098</v>
      </c>
      <c r="W17">
        <v>0</v>
      </c>
      <c r="X17">
        <v>0</v>
      </c>
      <c r="Y17">
        <v>0</v>
      </c>
      <c r="Z17" t="s">
        <v>27</v>
      </c>
      <c r="AA17" s="6" t="s">
        <v>27</v>
      </c>
      <c r="AB17" t="s">
        <v>27</v>
      </c>
      <c r="AD17" t="s">
        <v>73</v>
      </c>
      <c r="AE17" s="1">
        <v>3</v>
      </c>
      <c r="AF17" s="13">
        <v>45105</v>
      </c>
      <c r="AG17">
        <v>0</v>
      </c>
      <c r="AH17">
        <v>0</v>
      </c>
      <c r="AI17">
        <v>0</v>
      </c>
      <c r="AJ17" t="s">
        <v>27</v>
      </c>
      <c r="AK17" s="6" t="s">
        <v>27</v>
      </c>
      <c r="AL17" t="s">
        <v>27</v>
      </c>
      <c r="AN17" t="s">
        <v>73</v>
      </c>
      <c r="AO17" s="1">
        <v>4</v>
      </c>
      <c r="AP17" s="13">
        <v>45112</v>
      </c>
      <c r="AQ17">
        <v>0</v>
      </c>
      <c r="AR17">
        <v>0</v>
      </c>
      <c r="AS17">
        <v>0</v>
      </c>
      <c r="AT17" t="s">
        <v>27</v>
      </c>
      <c r="AU17" s="6" t="s">
        <v>27</v>
      </c>
      <c r="AV17" t="s">
        <v>27</v>
      </c>
      <c r="AX17" t="s">
        <v>73</v>
      </c>
      <c r="AY17" s="1">
        <v>5</v>
      </c>
      <c r="AZ17" s="13">
        <v>45119</v>
      </c>
      <c r="BA17">
        <v>0</v>
      </c>
      <c r="BB17">
        <v>0</v>
      </c>
      <c r="BC17">
        <v>0</v>
      </c>
      <c r="BD17" t="s">
        <v>27</v>
      </c>
      <c r="BE17" s="6" t="s">
        <v>27</v>
      </c>
      <c r="BF17" t="s">
        <v>27</v>
      </c>
      <c r="BH17" t="s">
        <v>73</v>
      </c>
      <c r="BI17" s="1">
        <v>6</v>
      </c>
      <c r="BJ17" s="13">
        <v>45126</v>
      </c>
      <c r="BK17">
        <v>0</v>
      </c>
      <c r="BL17">
        <v>0</v>
      </c>
      <c r="BM17">
        <v>0</v>
      </c>
      <c r="BN17" t="s">
        <v>27</v>
      </c>
      <c r="BO17" s="6" t="s">
        <v>27</v>
      </c>
      <c r="BP17" t="s">
        <v>27</v>
      </c>
      <c r="BR17" t="s">
        <v>73</v>
      </c>
      <c r="BS17" s="1">
        <v>7</v>
      </c>
      <c r="BT17" s="13">
        <v>45133</v>
      </c>
      <c r="BU17">
        <v>0</v>
      </c>
      <c r="BV17">
        <v>0</v>
      </c>
      <c r="BW17">
        <v>0</v>
      </c>
      <c r="BX17" s="51" t="s">
        <v>27</v>
      </c>
      <c r="BY17" s="51" t="s">
        <v>27</v>
      </c>
      <c r="BZ17" s="51" t="s">
        <v>27</v>
      </c>
      <c r="CC17" s="37" t="s">
        <v>73</v>
      </c>
      <c r="CD17" s="35">
        <f t="shared" si="0"/>
        <v>0</v>
      </c>
      <c r="CF17" s="28" t="s">
        <v>53</v>
      </c>
      <c r="CG17" s="29">
        <f>SUM(CD10,CD12:CD13,CD81)</f>
        <v>98</v>
      </c>
      <c r="CH17" s="29" cm="1">
        <f t="array" aca="1" ref="CH17" ca="1">SUM(COUNTIF(INDIRECT({"CD10","CD12:CD13","CD81"}),"&lt;&gt;"))</f>
        <v>4</v>
      </c>
      <c r="CI17" s="29" cm="1">
        <f t="array" aca="1" ref="CI17" ca="1">SUM(COUNTIF(INDIRECT({"CD10","CD12:CD13","CD81"}),"&gt;0"))</f>
        <v>3</v>
      </c>
      <c r="CJ17" s="41">
        <f t="shared" ca="1" si="1"/>
        <v>75</v>
      </c>
    </row>
    <row r="18" spans="1:88" ht="14.4" x14ac:dyDescent="0.3">
      <c r="A18" t="s">
        <v>74</v>
      </c>
      <c r="B18" s="24" t="s">
        <v>71</v>
      </c>
      <c r="C18">
        <v>32.404150000000001</v>
      </c>
      <c r="D18">
        <v>-83.547349999999994</v>
      </c>
      <c r="E18" s="13">
        <v>45076</v>
      </c>
      <c r="F18" s="13">
        <v>45084</v>
      </c>
      <c r="H18" s="1" t="s">
        <v>25</v>
      </c>
      <c r="I18" s="12" t="s">
        <v>26</v>
      </c>
      <c r="J18" t="s">
        <v>74</v>
      </c>
      <c r="K18" s="6">
        <v>1</v>
      </c>
      <c r="L18" s="13">
        <v>45091</v>
      </c>
      <c r="M18">
        <v>0</v>
      </c>
      <c r="N18">
        <v>0</v>
      </c>
      <c r="O18">
        <v>0</v>
      </c>
      <c r="P18" t="s">
        <v>27</v>
      </c>
      <c r="Q18" s="6" t="s">
        <v>27</v>
      </c>
      <c r="R18" s="6" t="s">
        <v>27</v>
      </c>
      <c r="S18" s="2"/>
      <c r="T18" t="s">
        <v>74</v>
      </c>
      <c r="U18" s="6">
        <v>2</v>
      </c>
      <c r="V18" s="13">
        <v>45098</v>
      </c>
      <c r="W18">
        <v>1</v>
      </c>
      <c r="X18">
        <v>0</v>
      </c>
      <c r="Y18">
        <v>1</v>
      </c>
      <c r="Z18" t="s">
        <v>33</v>
      </c>
      <c r="AA18" s="6" t="s">
        <v>27</v>
      </c>
      <c r="AB18" t="s">
        <v>27</v>
      </c>
      <c r="AD18" t="s">
        <v>74</v>
      </c>
      <c r="AE18" s="1">
        <v>3</v>
      </c>
      <c r="AF18" s="13">
        <v>45105</v>
      </c>
      <c r="AG18">
        <v>0</v>
      </c>
      <c r="AH18">
        <v>0</v>
      </c>
      <c r="AI18">
        <v>0</v>
      </c>
      <c r="AJ18" t="s">
        <v>27</v>
      </c>
      <c r="AK18" s="6" t="s">
        <v>27</v>
      </c>
      <c r="AL18" t="s">
        <v>27</v>
      </c>
      <c r="AN18" t="s">
        <v>74</v>
      </c>
      <c r="AO18" s="1">
        <v>4</v>
      </c>
      <c r="AP18" s="13">
        <v>45112</v>
      </c>
      <c r="AQ18">
        <v>0</v>
      </c>
      <c r="AR18">
        <v>0</v>
      </c>
      <c r="AS18">
        <v>0</v>
      </c>
      <c r="AT18" t="s">
        <v>27</v>
      </c>
      <c r="AU18" s="6" t="s">
        <v>27</v>
      </c>
      <c r="AV18" t="s">
        <v>33</v>
      </c>
      <c r="AX18" t="s">
        <v>74</v>
      </c>
      <c r="AY18" s="1">
        <v>5</v>
      </c>
      <c r="AZ18" s="13">
        <v>45119</v>
      </c>
      <c r="BA18">
        <v>0</v>
      </c>
      <c r="BB18">
        <v>0</v>
      </c>
      <c r="BC18">
        <v>0</v>
      </c>
      <c r="BD18" t="s">
        <v>27</v>
      </c>
      <c r="BE18" s="6" t="s">
        <v>27</v>
      </c>
      <c r="BF18" t="s">
        <v>27</v>
      </c>
      <c r="BH18" t="s">
        <v>74</v>
      </c>
      <c r="BI18" s="1">
        <v>6</v>
      </c>
      <c r="BJ18" s="13">
        <v>45126</v>
      </c>
      <c r="BK18">
        <v>0</v>
      </c>
      <c r="BL18">
        <v>0</v>
      </c>
      <c r="BM18">
        <v>0</v>
      </c>
      <c r="BN18" t="s">
        <v>27</v>
      </c>
      <c r="BO18" s="6" t="s">
        <v>27</v>
      </c>
      <c r="BP18" t="s">
        <v>27</v>
      </c>
      <c r="BR18" t="s">
        <v>74</v>
      </c>
      <c r="BS18" s="1">
        <v>7</v>
      </c>
      <c r="BT18" s="13">
        <v>45133</v>
      </c>
      <c r="BU18">
        <v>0</v>
      </c>
      <c r="BV18">
        <v>0</v>
      </c>
      <c r="BW18">
        <v>0</v>
      </c>
      <c r="BX18" s="51" t="s">
        <v>27</v>
      </c>
      <c r="BY18" s="51" t="s">
        <v>27</v>
      </c>
      <c r="BZ18" s="51" t="s">
        <v>27</v>
      </c>
      <c r="CC18" s="37" t="s">
        <v>74</v>
      </c>
      <c r="CD18" s="35">
        <f t="shared" si="0"/>
        <v>1</v>
      </c>
      <c r="CF18" s="28" t="s">
        <v>71</v>
      </c>
      <c r="CG18" s="29">
        <f>SUM(CD16:CD18)</f>
        <v>1</v>
      </c>
      <c r="CH18" s="29">
        <f>COUNTIF(CD16:CD18,"&lt;&gt;")</f>
        <v>3</v>
      </c>
      <c r="CI18" s="29">
        <f>COUNTIF(CD16:CD18,"&gt;0")</f>
        <v>1</v>
      </c>
      <c r="CJ18" s="41">
        <f t="shared" si="1"/>
        <v>33.333333333333329</v>
      </c>
    </row>
    <row r="19" spans="1:88" ht="14.4" x14ac:dyDescent="0.3">
      <c r="A19" t="s">
        <v>75</v>
      </c>
      <c r="B19" t="s">
        <v>76</v>
      </c>
      <c r="C19">
        <v>32.408380000000001</v>
      </c>
      <c r="D19">
        <v>-83.560509999999994</v>
      </c>
      <c r="E19" s="13">
        <v>45076</v>
      </c>
      <c r="F19" s="13">
        <v>45084</v>
      </c>
      <c r="H19" s="1" t="s">
        <v>25</v>
      </c>
      <c r="I19" s="12" t="s">
        <v>26</v>
      </c>
      <c r="J19" t="s">
        <v>75</v>
      </c>
      <c r="K19" s="6">
        <v>1</v>
      </c>
      <c r="L19" s="13">
        <v>45091</v>
      </c>
      <c r="M19">
        <v>7</v>
      </c>
      <c r="N19">
        <v>0</v>
      </c>
      <c r="O19">
        <v>7</v>
      </c>
      <c r="P19" t="s">
        <v>33</v>
      </c>
      <c r="Q19" s="6" t="s">
        <v>27</v>
      </c>
      <c r="R19" s="6" t="s">
        <v>27</v>
      </c>
      <c r="S19" s="2"/>
      <c r="T19" t="s">
        <v>75</v>
      </c>
      <c r="U19" s="6">
        <v>2</v>
      </c>
      <c r="V19" s="13">
        <v>45098</v>
      </c>
      <c r="W19">
        <v>0</v>
      </c>
      <c r="X19">
        <v>0</v>
      </c>
      <c r="Y19">
        <v>0</v>
      </c>
      <c r="Z19" t="s">
        <v>27</v>
      </c>
      <c r="AA19" s="6" t="s">
        <v>27</v>
      </c>
      <c r="AB19" t="s">
        <v>27</v>
      </c>
      <c r="AD19" t="s">
        <v>75</v>
      </c>
      <c r="AE19" s="1">
        <v>3</v>
      </c>
      <c r="AF19" s="13">
        <v>45105</v>
      </c>
      <c r="AG19">
        <v>0</v>
      </c>
      <c r="AH19">
        <v>0</v>
      </c>
      <c r="AI19">
        <v>0</v>
      </c>
      <c r="AJ19" t="s">
        <v>27</v>
      </c>
      <c r="AK19" s="6" t="s">
        <v>27</v>
      </c>
      <c r="AL19" t="s">
        <v>33</v>
      </c>
      <c r="AM19" s="2" t="s">
        <v>77</v>
      </c>
      <c r="AN19" t="s">
        <v>75</v>
      </c>
      <c r="AO19" s="1">
        <v>4</v>
      </c>
      <c r="AP19" s="13">
        <v>45112</v>
      </c>
      <c r="AQ19">
        <v>0</v>
      </c>
      <c r="AR19">
        <v>0</v>
      </c>
      <c r="AS19">
        <v>0</v>
      </c>
      <c r="AT19" t="s">
        <v>27</v>
      </c>
      <c r="AU19" s="6" t="s">
        <v>27</v>
      </c>
      <c r="AV19" t="s">
        <v>27</v>
      </c>
      <c r="AX19" t="s">
        <v>75</v>
      </c>
      <c r="AY19" s="1">
        <v>5</v>
      </c>
      <c r="AZ19" s="13">
        <v>45119</v>
      </c>
      <c r="BA19">
        <v>0</v>
      </c>
      <c r="BB19">
        <v>0</v>
      </c>
      <c r="BC19">
        <v>0</v>
      </c>
      <c r="BD19" t="s">
        <v>27</v>
      </c>
      <c r="BE19" s="6" t="s">
        <v>27</v>
      </c>
      <c r="BF19" t="s">
        <v>27</v>
      </c>
      <c r="BH19" t="s">
        <v>75</v>
      </c>
      <c r="BI19" s="1">
        <v>6</v>
      </c>
      <c r="BJ19" s="13">
        <v>45126</v>
      </c>
      <c r="BK19">
        <v>0</v>
      </c>
      <c r="BL19">
        <v>0</v>
      </c>
      <c r="BM19">
        <v>0</v>
      </c>
      <c r="BN19" t="s">
        <v>27</v>
      </c>
      <c r="BO19" s="6" t="s">
        <v>27</v>
      </c>
      <c r="BP19" t="s">
        <v>27</v>
      </c>
      <c r="BR19" t="s">
        <v>75</v>
      </c>
      <c r="BS19" s="1">
        <v>7</v>
      </c>
      <c r="BT19" s="13">
        <v>45133</v>
      </c>
      <c r="BU19">
        <v>0</v>
      </c>
      <c r="BV19">
        <v>0</v>
      </c>
      <c r="BW19">
        <v>0</v>
      </c>
      <c r="BX19" s="51" t="s">
        <v>27</v>
      </c>
      <c r="BY19" s="51" t="s">
        <v>27</v>
      </c>
      <c r="BZ19" s="51" t="s">
        <v>27</v>
      </c>
      <c r="CC19" s="37" t="s">
        <v>75</v>
      </c>
      <c r="CD19" s="35">
        <f t="shared" si="0"/>
        <v>7</v>
      </c>
      <c r="CF19" s="28" t="s">
        <v>78</v>
      </c>
      <c r="CG19" s="29">
        <f>SUM(CD118:CD120,CD123,CD125,CD128,CD130:CD131,CD134)</f>
        <v>45</v>
      </c>
      <c r="CH19" s="29" cm="1">
        <f t="array" aca="1" ref="CH19" ca="1">SUM(COUNTIF(INDIRECT({"CD118:CD120","CD123","CD125","CD128","CD130:CD131","CD134"}),"&lt;&gt;"))</f>
        <v>9</v>
      </c>
      <c r="CI19" s="29" cm="1">
        <f t="array" aca="1" ref="CI19" ca="1">SUM(COUNTIF(INDIRECT({"CD118:CD120","CD123","CD125","CD128","CD130:CD131","CD134"}),"&gt;0"))</f>
        <v>5</v>
      </c>
      <c r="CJ19" s="41">
        <f t="shared" ca="1" si="1"/>
        <v>55.555555555555557</v>
      </c>
    </row>
    <row r="20" spans="1:88" ht="14.4" x14ac:dyDescent="0.3">
      <c r="A20" t="s">
        <v>79</v>
      </c>
      <c r="B20" t="s">
        <v>80</v>
      </c>
      <c r="C20">
        <v>32.439830000000001</v>
      </c>
      <c r="D20">
        <v>-83.607609999999994</v>
      </c>
      <c r="E20" s="13">
        <v>45076</v>
      </c>
      <c r="F20" s="13">
        <v>45085</v>
      </c>
      <c r="H20" s="1" t="s">
        <v>25</v>
      </c>
      <c r="I20" s="12" t="s">
        <v>26</v>
      </c>
      <c r="J20" t="s">
        <v>79</v>
      </c>
      <c r="K20" s="6">
        <v>1</v>
      </c>
      <c r="L20" s="13">
        <v>45092</v>
      </c>
      <c r="M20">
        <v>0</v>
      </c>
      <c r="N20">
        <v>0</v>
      </c>
      <c r="O20">
        <v>0</v>
      </c>
      <c r="P20" t="s">
        <v>27</v>
      </c>
      <c r="Q20" s="6" t="s">
        <v>27</v>
      </c>
      <c r="R20" s="6" t="s">
        <v>27</v>
      </c>
      <c r="S20" s="2"/>
      <c r="T20" t="s">
        <v>79</v>
      </c>
      <c r="U20" s="6">
        <v>2</v>
      </c>
      <c r="V20" s="13">
        <v>45099</v>
      </c>
      <c r="W20">
        <v>0</v>
      </c>
      <c r="X20">
        <v>0</v>
      </c>
      <c r="Y20">
        <v>0</v>
      </c>
      <c r="Z20" t="s">
        <v>27</v>
      </c>
      <c r="AA20" s="6" t="s">
        <v>27</v>
      </c>
      <c r="AB20" t="s">
        <v>27</v>
      </c>
      <c r="AD20" t="s">
        <v>79</v>
      </c>
      <c r="AE20" s="1">
        <v>3</v>
      </c>
      <c r="AF20" s="13">
        <v>45106</v>
      </c>
      <c r="AG20">
        <v>0</v>
      </c>
      <c r="AH20">
        <v>0</v>
      </c>
      <c r="AI20">
        <v>0</v>
      </c>
      <c r="AJ20" t="s">
        <v>27</v>
      </c>
      <c r="AK20" s="6" t="s">
        <v>27</v>
      </c>
      <c r="AL20" t="s">
        <v>27</v>
      </c>
      <c r="AN20" t="s">
        <v>79</v>
      </c>
      <c r="AO20" s="1">
        <v>4</v>
      </c>
      <c r="AP20" s="13">
        <v>45113</v>
      </c>
      <c r="AQ20">
        <v>0</v>
      </c>
      <c r="AR20">
        <v>0</v>
      </c>
      <c r="AS20">
        <v>0</v>
      </c>
      <c r="AT20" t="s">
        <v>27</v>
      </c>
      <c r="AU20" s="6" t="s">
        <v>27</v>
      </c>
      <c r="AV20" t="s">
        <v>27</v>
      </c>
      <c r="AX20" t="s">
        <v>79</v>
      </c>
      <c r="AY20" s="1">
        <v>5</v>
      </c>
      <c r="AZ20" s="13">
        <v>45120</v>
      </c>
      <c r="BA20">
        <v>0</v>
      </c>
      <c r="BB20">
        <v>0</v>
      </c>
      <c r="BC20">
        <v>0</v>
      </c>
      <c r="BD20" t="s">
        <v>27</v>
      </c>
      <c r="BE20" s="6" t="s">
        <v>27</v>
      </c>
      <c r="BF20" t="s">
        <v>27</v>
      </c>
      <c r="BH20" t="s">
        <v>79</v>
      </c>
      <c r="BI20" s="1">
        <v>6</v>
      </c>
      <c r="BJ20" s="13">
        <v>45127</v>
      </c>
      <c r="BK20">
        <v>0</v>
      </c>
      <c r="BL20">
        <v>0</v>
      </c>
      <c r="BM20">
        <v>0</v>
      </c>
      <c r="BN20" t="s">
        <v>27</v>
      </c>
      <c r="BO20" s="6" t="s">
        <v>27</v>
      </c>
      <c r="BP20" t="s">
        <v>27</v>
      </c>
      <c r="BR20" t="s">
        <v>79</v>
      </c>
      <c r="BS20" s="1">
        <v>7</v>
      </c>
      <c r="BT20" s="13">
        <v>45134</v>
      </c>
      <c r="BU20">
        <v>0</v>
      </c>
      <c r="BV20">
        <v>0</v>
      </c>
      <c r="BW20">
        <v>0</v>
      </c>
      <c r="BX20" s="51" t="s">
        <v>27</v>
      </c>
      <c r="BY20" s="51" t="s">
        <v>27</v>
      </c>
      <c r="BZ20" s="51" t="s">
        <v>27</v>
      </c>
      <c r="CC20" s="37" t="s">
        <v>79</v>
      </c>
      <c r="CD20" s="35">
        <f t="shared" si="0"/>
        <v>0</v>
      </c>
      <c r="CF20" s="28" t="s">
        <v>81</v>
      </c>
      <c r="CG20" s="29">
        <f>SUM(CD11,CD14:CD15,CD22:CD52)</f>
        <v>596</v>
      </c>
      <c r="CH20" s="29" cm="1">
        <f t="array" aca="1" ref="CH20" ca="1">SUM(COUNTIF(INDIRECT({"CD11","CD14:CD15","CD22:CD52"}),"&lt;&gt;"))</f>
        <v>34</v>
      </c>
      <c r="CI20" s="29" cm="1">
        <f t="array" aca="1" ref="CI20" ca="1">SUM(COUNTIF(INDIRECT({"CD11","CD14:CD15","CD22:CD52"}),"&gt;0"))</f>
        <v>27</v>
      </c>
      <c r="CJ20" s="41">
        <f t="shared" ca="1" si="1"/>
        <v>79.411764705882348</v>
      </c>
    </row>
    <row r="21" spans="1:88" ht="14.4" x14ac:dyDescent="0.3">
      <c r="A21" t="s">
        <v>82</v>
      </c>
      <c r="B21" t="s">
        <v>80</v>
      </c>
      <c r="C21">
        <v>32.445970000000003</v>
      </c>
      <c r="D21">
        <v>-83.610129999999998</v>
      </c>
      <c r="E21" s="117">
        <v>45049</v>
      </c>
      <c r="F21" s="13">
        <v>45085</v>
      </c>
      <c r="H21" s="1" t="s">
        <v>25</v>
      </c>
      <c r="I21" s="12" t="s">
        <v>26</v>
      </c>
      <c r="J21" t="s">
        <v>82</v>
      </c>
      <c r="K21" s="6">
        <v>1</v>
      </c>
      <c r="L21" s="13">
        <v>45092</v>
      </c>
      <c r="M21">
        <v>0</v>
      </c>
      <c r="N21">
        <v>0</v>
      </c>
      <c r="O21">
        <v>0</v>
      </c>
      <c r="P21" t="s">
        <v>27</v>
      </c>
      <c r="Q21" s="6" t="s">
        <v>27</v>
      </c>
      <c r="R21" s="6" t="s">
        <v>27</v>
      </c>
      <c r="S21" s="2"/>
      <c r="T21" t="s">
        <v>82</v>
      </c>
      <c r="U21" s="6">
        <v>2</v>
      </c>
      <c r="V21" s="13">
        <v>45099</v>
      </c>
      <c r="W21">
        <v>0</v>
      </c>
      <c r="X21">
        <v>0</v>
      </c>
      <c r="Y21">
        <v>0</v>
      </c>
      <c r="Z21" t="s">
        <v>27</v>
      </c>
      <c r="AA21" s="6" t="s">
        <v>27</v>
      </c>
      <c r="AB21" t="s">
        <v>27</v>
      </c>
      <c r="AD21" t="s">
        <v>82</v>
      </c>
      <c r="AE21" s="1">
        <v>3</v>
      </c>
      <c r="AF21" s="13">
        <v>45106</v>
      </c>
      <c r="AG21">
        <v>0</v>
      </c>
      <c r="AH21">
        <v>0</v>
      </c>
      <c r="AI21">
        <v>0</v>
      </c>
      <c r="AJ21" t="s">
        <v>27</v>
      </c>
      <c r="AK21" s="6" t="s">
        <v>27</v>
      </c>
      <c r="AL21" t="s">
        <v>27</v>
      </c>
      <c r="AN21" t="s">
        <v>82</v>
      </c>
      <c r="AO21" s="1">
        <v>4</v>
      </c>
      <c r="AP21" s="13">
        <v>45112</v>
      </c>
      <c r="AQ21">
        <v>0</v>
      </c>
      <c r="AR21">
        <v>0</v>
      </c>
      <c r="AS21">
        <v>0</v>
      </c>
      <c r="AT21" t="s">
        <v>27</v>
      </c>
      <c r="AU21" s="6" t="s">
        <v>27</v>
      </c>
      <c r="AV21" t="s">
        <v>27</v>
      </c>
      <c r="AX21" t="s">
        <v>82</v>
      </c>
      <c r="AY21" s="1">
        <v>5</v>
      </c>
      <c r="AZ21" s="13">
        <v>45120</v>
      </c>
      <c r="BA21">
        <v>0</v>
      </c>
      <c r="BB21">
        <v>0</v>
      </c>
      <c r="BC21">
        <v>0</v>
      </c>
      <c r="BD21" t="s">
        <v>27</v>
      </c>
      <c r="BE21" s="6" t="s">
        <v>27</v>
      </c>
      <c r="BF21" t="s">
        <v>33</v>
      </c>
      <c r="BG21" s="2" t="s">
        <v>83</v>
      </c>
      <c r="BH21" t="s">
        <v>82</v>
      </c>
      <c r="BI21" s="1">
        <v>6</v>
      </c>
      <c r="BJ21" s="13">
        <v>45127</v>
      </c>
      <c r="BK21">
        <v>0</v>
      </c>
      <c r="BL21">
        <v>0</v>
      </c>
      <c r="BM21">
        <v>0</v>
      </c>
      <c r="BN21" t="s">
        <v>27</v>
      </c>
      <c r="BO21" s="6" t="s">
        <v>27</v>
      </c>
      <c r="BP21" t="s">
        <v>27</v>
      </c>
      <c r="BR21" t="s">
        <v>82</v>
      </c>
      <c r="BS21" s="1">
        <v>7</v>
      </c>
      <c r="BT21" s="13">
        <v>45134</v>
      </c>
      <c r="BU21">
        <v>0</v>
      </c>
      <c r="BV21">
        <v>0</v>
      </c>
      <c r="BW21">
        <v>0</v>
      </c>
      <c r="BX21" s="51" t="s">
        <v>27</v>
      </c>
      <c r="BY21" s="51" t="s">
        <v>27</v>
      </c>
      <c r="BZ21" s="51" t="s">
        <v>27</v>
      </c>
      <c r="CC21" s="37" t="s">
        <v>82</v>
      </c>
      <c r="CD21" s="35">
        <f t="shared" si="0"/>
        <v>0</v>
      </c>
      <c r="CF21" s="28" t="s">
        <v>84</v>
      </c>
      <c r="CG21" s="29">
        <f>SUM(CD53:CD80,CD89,CD94,CD98:CD100)</f>
        <v>320</v>
      </c>
      <c r="CH21" s="29" cm="1">
        <f t="array" aca="1" ref="CH21" ca="1">SUM(COUNTIF(INDIRECT({"CD53:CD80","CD89","CD94","CD98:CD100"}),"&lt;&gt;"))</f>
        <v>33</v>
      </c>
      <c r="CI21" s="29" cm="1">
        <f t="array" aca="1" ref="CI21" ca="1">SUM(COUNTIF(INDIRECT({"CD53:CD80","CD89","CD94","CD98:CD100"}),"&gt;0"))</f>
        <v>18</v>
      </c>
      <c r="CJ21" s="41">
        <f t="shared" ca="1" si="1"/>
        <v>54.54545454545454</v>
      </c>
    </row>
    <row r="22" spans="1:88" ht="14.4" x14ac:dyDescent="0.3">
      <c r="A22" t="s">
        <v>85</v>
      </c>
      <c r="B22" t="s">
        <v>81</v>
      </c>
      <c r="C22">
        <v>32.411819999999999</v>
      </c>
      <c r="D22">
        <v>-83.501890000000003</v>
      </c>
      <c r="E22" s="116"/>
      <c r="F22" s="13">
        <v>45083</v>
      </c>
      <c r="H22" s="1" t="s">
        <v>25</v>
      </c>
      <c r="I22" s="12" t="s">
        <v>26</v>
      </c>
      <c r="J22" t="s">
        <v>85</v>
      </c>
      <c r="K22" s="6">
        <v>1</v>
      </c>
      <c r="L22" s="13">
        <v>45090</v>
      </c>
      <c r="M22">
        <v>0</v>
      </c>
      <c r="N22">
        <v>0</v>
      </c>
      <c r="O22">
        <v>0</v>
      </c>
      <c r="P22" t="s">
        <v>27</v>
      </c>
      <c r="Q22" s="6" t="s">
        <v>27</v>
      </c>
      <c r="R22" s="6" t="s">
        <v>27</v>
      </c>
      <c r="S22" s="2"/>
      <c r="T22" t="s">
        <v>85</v>
      </c>
      <c r="U22" s="6">
        <v>2</v>
      </c>
      <c r="V22" s="13">
        <v>45097</v>
      </c>
      <c r="W22">
        <v>0</v>
      </c>
      <c r="X22">
        <v>1</v>
      </c>
      <c r="Y22">
        <v>1</v>
      </c>
      <c r="Z22" t="s">
        <v>27</v>
      </c>
      <c r="AA22" s="6" t="s">
        <v>27</v>
      </c>
      <c r="AB22" t="s">
        <v>86</v>
      </c>
      <c r="AD22" t="s">
        <v>85</v>
      </c>
      <c r="AE22" s="1">
        <v>3</v>
      </c>
      <c r="AF22" s="13">
        <v>45104</v>
      </c>
      <c r="AG22">
        <v>3</v>
      </c>
      <c r="AH22">
        <v>3</v>
      </c>
      <c r="AI22">
        <v>6</v>
      </c>
      <c r="AJ22" t="s">
        <v>33</v>
      </c>
      <c r="AK22" s="6" t="s">
        <v>33</v>
      </c>
      <c r="AL22" t="s">
        <v>27</v>
      </c>
      <c r="AN22" t="s">
        <v>85</v>
      </c>
      <c r="AO22" s="1">
        <v>4</v>
      </c>
      <c r="AP22" s="13">
        <v>45111</v>
      </c>
      <c r="AQ22">
        <v>0</v>
      </c>
      <c r="AR22">
        <v>4</v>
      </c>
      <c r="AS22">
        <v>4</v>
      </c>
      <c r="AT22" t="s">
        <v>33</v>
      </c>
      <c r="AU22" s="6" t="s">
        <v>27</v>
      </c>
      <c r="AV22" t="s">
        <v>27</v>
      </c>
      <c r="AX22" t="s">
        <v>85</v>
      </c>
      <c r="AY22" s="1">
        <v>5</v>
      </c>
      <c r="AZ22" s="13">
        <v>45118</v>
      </c>
      <c r="BA22">
        <v>4</v>
      </c>
      <c r="BB22">
        <v>2</v>
      </c>
      <c r="BC22">
        <v>6</v>
      </c>
      <c r="BD22" t="s">
        <v>33</v>
      </c>
      <c r="BE22" s="6" t="s">
        <v>33</v>
      </c>
      <c r="BF22" t="s">
        <v>27</v>
      </c>
      <c r="BH22" t="s">
        <v>85</v>
      </c>
      <c r="BI22" s="1">
        <v>6</v>
      </c>
      <c r="BJ22" s="13">
        <v>45125</v>
      </c>
      <c r="BK22">
        <v>0</v>
      </c>
      <c r="BL22">
        <v>0</v>
      </c>
      <c r="BM22">
        <v>0</v>
      </c>
      <c r="BN22" t="s">
        <v>27</v>
      </c>
      <c r="BO22" s="6" t="s">
        <v>27</v>
      </c>
      <c r="BP22" t="s">
        <v>27</v>
      </c>
      <c r="BR22" t="s">
        <v>85</v>
      </c>
      <c r="BS22" s="1">
        <v>7</v>
      </c>
      <c r="BT22" s="13">
        <v>45132</v>
      </c>
      <c r="BU22">
        <v>0</v>
      </c>
      <c r="BV22">
        <v>0</v>
      </c>
      <c r="BW22">
        <v>0</v>
      </c>
      <c r="BX22" s="51" t="s">
        <v>27</v>
      </c>
      <c r="BY22" s="51" t="s">
        <v>27</v>
      </c>
      <c r="BZ22" s="51" t="s">
        <v>27</v>
      </c>
      <c r="CC22" s="37" t="s">
        <v>85</v>
      </c>
      <c r="CD22" s="35">
        <f t="shared" si="0"/>
        <v>17</v>
      </c>
      <c r="CF22" s="28" t="s">
        <v>87</v>
      </c>
      <c r="CG22" s="29">
        <f>SUM(CD93)</f>
        <v>0</v>
      </c>
      <c r="CH22" s="29">
        <f>COUNTIF(CD93,"&lt;&gt;")</f>
        <v>1</v>
      </c>
      <c r="CI22" s="29">
        <f>COUNTIF(CD93,"&gt;0")</f>
        <v>0</v>
      </c>
      <c r="CJ22" s="41">
        <f t="shared" si="1"/>
        <v>0</v>
      </c>
    </row>
    <row r="23" spans="1:88" ht="14.4" x14ac:dyDescent="0.3">
      <c r="A23" t="s">
        <v>88</v>
      </c>
      <c r="B23" t="s">
        <v>81</v>
      </c>
      <c r="C23">
        <v>32.412660000000002</v>
      </c>
      <c r="D23">
        <v>-83.49539</v>
      </c>
      <c r="E23" s="117">
        <v>45071</v>
      </c>
      <c r="F23" s="13">
        <v>45083</v>
      </c>
      <c r="H23" s="1" t="s">
        <v>25</v>
      </c>
      <c r="I23" s="12" t="s">
        <v>26</v>
      </c>
      <c r="J23" t="s">
        <v>88</v>
      </c>
      <c r="K23" s="6">
        <v>1</v>
      </c>
      <c r="L23" s="13">
        <v>45090</v>
      </c>
      <c r="M23">
        <v>0</v>
      </c>
      <c r="N23">
        <v>0</v>
      </c>
      <c r="O23">
        <v>0</v>
      </c>
      <c r="P23" t="s">
        <v>27</v>
      </c>
      <c r="Q23" s="6" t="s">
        <v>27</v>
      </c>
      <c r="R23" s="6" t="s">
        <v>27</v>
      </c>
      <c r="S23" s="2"/>
      <c r="T23" t="s">
        <v>88</v>
      </c>
      <c r="U23" s="6">
        <v>2</v>
      </c>
      <c r="V23" s="13">
        <v>45097</v>
      </c>
      <c r="W23">
        <v>0</v>
      </c>
      <c r="X23">
        <v>0</v>
      </c>
      <c r="Y23">
        <v>0</v>
      </c>
      <c r="Z23" t="s">
        <v>27</v>
      </c>
      <c r="AA23" s="6" t="s">
        <v>27</v>
      </c>
      <c r="AB23" t="s">
        <v>27</v>
      </c>
      <c r="AD23" t="s">
        <v>88</v>
      </c>
      <c r="AE23" s="1">
        <v>3</v>
      </c>
      <c r="AF23" s="13">
        <v>45104</v>
      </c>
      <c r="AG23">
        <v>0</v>
      </c>
      <c r="AH23">
        <v>0</v>
      </c>
      <c r="AI23">
        <v>0</v>
      </c>
      <c r="AJ23" t="s">
        <v>27</v>
      </c>
      <c r="AK23" s="6" t="s">
        <v>27</v>
      </c>
      <c r="AL23" t="s">
        <v>27</v>
      </c>
      <c r="AN23" t="s">
        <v>88</v>
      </c>
      <c r="AO23" s="1">
        <v>4</v>
      </c>
      <c r="AP23" s="13">
        <v>45111</v>
      </c>
      <c r="AQ23">
        <v>0</v>
      </c>
      <c r="AR23">
        <v>0</v>
      </c>
      <c r="AS23">
        <v>0</v>
      </c>
      <c r="AT23" t="s">
        <v>27</v>
      </c>
      <c r="AU23" s="6" t="s">
        <v>27</v>
      </c>
      <c r="AV23" t="s">
        <v>27</v>
      </c>
      <c r="AX23" t="s">
        <v>88</v>
      </c>
      <c r="AY23" s="1">
        <v>5</v>
      </c>
      <c r="AZ23" s="13">
        <v>45118</v>
      </c>
      <c r="BA23">
        <v>0</v>
      </c>
      <c r="BB23">
        <v>0</v>
      </c>
      <c r="BC23">
        <v>0</v>
      </c>
      <c r="BD23" t="s">
        <v>27</v>
      </c>
      <c r="BE23" s="6" t="s">
        <v>27</v>
      </c>
      <c r="BF23" t="s">
        <v>27</v>
      </c>
      <c r="BH23" t="s">
        <v>88</v>
      </c>
      <c r="BI23" s="1">
        <v>6</v>
      </c>
      <c r="BJ23" s="13">
        <v>45125</v>
      </c>
      <c r="BK23">
        <v>0</v>
      </c>
      <c r="BL23" s="22">
        <v>0</v>
      </c>
      <c r="BM23">
        <v>0</v>
      </c>
      <c r="BN23" t="s">
        <v>27</v>
      </c>
      <c r="BO23" s="6" t="s">
        <v>27</v>
      </c>
      <c r="BP23" t="s">
        <v>27</v>
      </c>
      <c r="BR23" t="s">
        <v>88</v>
      </c>
      <c r="BS23" s="1">
        <v>7</v>
      </c>
      <c r="BT23" s="13">
        <v>45132</v>
      </c>
      <c r="BU23">
        <v>0</v>
      </c>
      <c r="BV23">
        <v>0</v>
      </c>
      <c r="BW23">
        <v>0</v>
      </c>
      <c r="BX23" s="51" t="s">
        <v>27</v>
      </c>
      <c r="BY23" s="51" t="s">
        <v>27</v>
      </c>
      <c r="BZ23" s="51" t="s">
        <v>27</v>
      </c>
      <c r="CC23" s="37" t="s">
        <v>88</v>
      </c>
      <c r="CD23" s="35">
        <f t="shared" si="0"/>
        <v>0</v>
      </c>
      <c r="CF23" s="28" t="s">
        <v>76</v>
      </c>
      <c r="CG23" s="29">
        <f>SUM(CD19)</f>
        <v>7</v>
      </c>
      <c r="CH23" s="29">
        <f>COUNTIF(CD19,"&lt;&gt;")</f>
        <v>1</v>
      </c>
      <c r="CI23" s="29">
        <f>COUNTIF(CD19,"&gt;0")</f>
        <v>1</v>
      </c>
      <c r="CJ23" s="41">
        <f t="shared" si="1"/>
        <v>100</v>
      </c>
    </row>
    <row r="24" spans="1:88" ht="14.4" x14ac:dyDescent="0.3">
      <c r="A24" t="s">
        <v>89</v>
      </c>
      <c r="B24" t="s">
        <v>81</v>
      </c>
      <c r="C24">
        <v>32.414569999999998</v>
      </c>
      <c r="D24" s="21">
        <v>-83.486599999999996</v>
      </c>
      <c r="E24" s="116"/>
      <c r="F24" s="13">
        <v>45083</v>
      </c>
      <c r="H24" s="1" t="s">
        <v>25</v>
      </c>
      <c r="I24" s="12" t="s">
        <v>26</v>
      </c>
      <c r="J24" t="s">
        <v>89</v>
      </c>
      <c r="K24" s="6">
        <v>1</v>
      </c>
      <c r="L24" s="13">
        <v>45090</v>
      </c>
      <c r="M24">
        <v>0</v>
      </c>
      <c r="N24">
        <v>0</v>
      </c>
      <c r="O24">
        <v>0</v>
      </c>
      <c r="P24" t="s">
        <v>27</v>
      </c>
      <c r="Q24" s="6" t="s">
        <v>27</v>
      </c>
      <c r="R24" s="6" t="s">
        <v>27</v>
      </c>
      <c r="S24" s="2"/>
      <c r="T24" t="s">
        <v>89</v>
      </c>
      <c r="U24" s="6">
        <v>2</v>
      </c>
      <c r="V24" s="13">
        <v>45097</v>
      </c>
      <c r="W24">
        <v>0</v>
      </c>
      <c r="X24">
        <v>0</v>
      </c>
      <c r="Y24">
        <v>0</v>
      </c>
      <c r="Z24" t="s">
        <v>27</v>
      </c>
      <c r="AA24" s="6" t="s">
        <v>27</v>
      </c>
      <c r="AB24" t="s">
        <v>27</v>
      </c>
      <c r="AD24" t="s">
        <v>89</v>
      </c>
      <c r="AE24" s="1">
        <v>3</v>
      </c>
      <c r="AF24" s="13">
        <v>45104</v>
      </c>
      <c r="AG24">
        <v>0</v>
      </c>
      <c r="AH24">
        <v>0</v>
      </c>
      <c r="AI24">
        <v>0</v>
      </c>
      <c r="AJ24" t="s">
        <v>27</v>
      </c>
      <c r="AK24" s="6" t="s">
        <v>27</v>
      </c>
      <c r="AL24" t="s">
        <v>27</v>
      </c>
      <c r="AN24" t="s">
        <v>89</v>
      </c>
      <c r="AO24" s="1">
        <v>4</v>
      </c>
      <c r="AP24" s="13">
        <v>45111</v>
      </c>
      <c r="AQ24">
        <v>0</v>
      </c>
      <c r="AR24">
        <v>0</v>
      </c>
      <c r="AS24">
        <v>0</v>
      </c>
      <c r="AT24" t="s">
        <v>27</v>
      </c>
      <c r="AU24" s="6" t="s">
        <v>27</v>
      </c>
      <c r="AV24" t="s">
        <v>27</v>
      </c>
      <c r="AX24" t="s">
        <v>89</v>
      </c>
      <c r="AY24" s="1">
        <v>5</v>
      </c>
      <c r="AZ24" s="13">
        <v>45118</v>
      </c>
      <c r="BA24">
        <v>0</v>
      </c>
      <c r="BB24">
        <v>3</v>
      </c>
      <c r="BC24">
        <v>3</v>
      </c>
      <c r="BD24" t="s">
        <v>33</v>
      </c>
      <c r="BE24" s="6" t="s">
        <v>27</v>
      </c>
      <c r="BF24" t="s">
        <v>33</v>
      </c>
      <c r="BG24" s="2" t="s">
        <v>90</v>
      </c>
      <c r="BH24" t="s">
        <v>89</v>
      </c>
      <c r="BI24" s="1">
        <v>6</v>
      </c>
      <c r="BJ24" s="13">
        <v>45125</v>
      </c>
      <c r="BK24">
        <v>0</v>
      </c>
      <c r="BL24">
        <v>0</v>
      </c>
      <c r="BM24">
        <v>0</v>
      </c>
      <c r="BN24" t="s">
        <v>27</v>
      </c>
      <c r="BO24" s="6" t="s">
        <v>27</v>
      </c>
      <c r="BP24" t="s">
        <v>27</v>
      </c>
      <c r="BR24" t="s">
        <v>89</v>
      </c>
      <c r="BS24" s="1">
        <v>7</v>
      </c>
      <c r="BT24" s="13">
        <v>45132</v>
      </c>
      <c r="BU24">
        <v>0</v>
      </c>
      <c r="BV24">
        <v>0</v>
      </c>
      <c r="BW24">
        <v>0</v>
      </c>
      <c r="BX24" s="51" t="s">
        <v>27</v>
      </c>
      <c r="BY24" s="51" t="s">
        <v>27</v>
      </c>
      <c r="BZ24" s="51" t="s">
        <v>27</v>
      </c>
      <c r="CC24" s="37" t="s">
        <v>89</v>
      </c>
      <c r="CD24" s="35">
        <f t="shared" si="0"/>
        <v>3</v>
      </c>
      <c r="CF24" s="28" t="s">
        <v>91</v>
      </c>
      <c r="CG24" s="29">
        <f>SUM(CD87:CD88,CD96,CD101)</f>
        <v>6</v>
      </c>
      <c r="CH24" s="29" cm="1">
        <f t="array" aca="1" ref="CH24" ca="1">SUM(COUNTIF(INDIRECT({"CD87:CD88","CD96","CD101"}),"&lt;&gt;"))</f>
        <v>4</v>
      </c>
      <c r="CI24" s="29" cm="1">
        <f t="array" aca="1" ref="CI24" ca="1">SUM(COUNTIF(INDIRECT({"CD87:CD88","CD96","CD101"}),"&gt;0"))</f>
        <v>2</v>
      </c>
      <c r="CJ24" s="41">
        <f t="shared" ca="1" si="1"/>
        <v>50</v>
      </c>
    </row>
    <row r="25" spans="1:88" ht="14.4" x14ac:dyDescent="0.3">
      <c r="A25" t="s">
        <v>92</v>
      </c>
      <c r="B25" t="s">
        <v>81</v>
      </c>
      <c r="C25">
        <v>32.427370000000003</v>
      </c>
      <c r="D25">
        <v>-83.493350000000007</v>
      </c>
      <c r="E25" s="117">
        <v>45079</v>
      </c>
      <c r="F25" s="13">
        <v>45083</v>
      </c>
      <c r="H25" s="1" t="s">
        <v>25</v>
      </c>
      <c r="I25" s="12" t="s">
        <v>26</v>
      </c>
      <c r="J25" t="s">
        <v>92</v>
      </c>
      <c r="K25" s="6">
        <v>1</v>
      </c>
      <c r="L25" s="13">
        <v>45090</v>
      </c>
      <c r="M25">
        <v>0</v>
      </c>
      <c r="N25">
        <v>0</v>
      </c>
      <c r="O25">
        <v>0</v>
      </c>
      <c r="P25" t="s">
        <v>27</v>
      </c>
      <c r="Q25" s="6" t="s">
        <v>27</v>
      </c>
      <c r="R25" s="6" t="s">
        <v>27</v>
      </c>
      <c r="S25" s="2"/>
      <c r="T25" t="s">
        <v>92</v>
      </c>
      <c r="U25" s="6">
        <v>2</v>
      </c>
      <c r="V25" s="13">
        <v>45097</v>
      </c>
      <c r="W25">
        <v>0</v>
      </c>
      <c r="X25">
        <v>0</v>
      </c>
      <c r="Y25">
        <v>0</v>
      </c>
      <c r="Z25" t="s">
        <v>27</v>
      </c>
      <c r="AA25" s="6" t="s">
        <v>27</v>
      </c>
      <c r="AB25" t="s">
        <v>27</v>
      </c>
      <c r="AD25" t="s">
        <v>92</v>
      </c>
      <c r="AE25" s="1">
        <v>3</v>
      </c>
      <c r="AF25" s="13">
        <v>45104</v>
      </c>
      <c r="AG25">
        <v>9</v>
      </c>
      <c r="AH25">
        <v>14</v>
      </c>
      <c r="AI25">
        <v>23</v>
      </c>
      <c r="AJ25" t="s">
        <v>33</v>
      </c>
      <c r="AK25" s="6" t="s">
        <v>33</v>
      </c>
      <c r="AL25" t="s">
        <v>27</v>
      </c>
      <c r="AN25" t="s">
        <v>92</v>
      </c>
      <c r="AO25" s="1">
        <v>4</v>
      </c>
      <c r="AP25" s="13">
        <v>45111</v>
      </c>
      <c r="AQ25">
        <v>0</v>
      </c>
      <c r="AR25">
        <v>4</v>
      </c>
      <c r="AS25">
        <v>4</v>
      </c>
      <c r="AT25" t="s">
        <v>33</v>
      </c>
      <c r="AU25" s="6" t="s">
        <v>27</v>
      </c>
      <c r="AV25" t="s">
        <v>27</v>
      </c>
      <c r="AX25" t="s">
        <v>92</v>
      </c>
      <c r="AY25" s="1">
        <v>5</v>
      </c>
      <c r="AZ25" s="13">
        <v>45118</v>
      </c>
      <c r="BA25">
        <v>5</v>
      </c>
      <c r="BB25">
        <v>8</v>
      </c>
      <c r="BC25">
        <v>13</v>
      </c>
      <c r="BD25" t="s">
        <v>33</v>
      </c>
      <c r="BE25" s="6" t="s">
        <v>33</v>
      </c>
      <c r="BF25" t="s">
        <v>27</v>
      </c>
      <c r="BH25" t="s">
        <v>92</v>
      </c>
      <c r="BI25" s="1">
        <v>6</v>
      </c>
      <c r="BJ25" s="13">
        <v>45125</v>
      </c>
      <c r="BK25">
        <v>0</v>
      </c>
      <c r="BL25">
        <v>0</v>
      </c>
      <c r="BM25">
        <v>0</v>
      </c>
      <c r="BN25" t="s">
        <v>27</v>
      </c>
      <c r="BO25" s="6" t="s">
        <v>27</v>
      </c>
      <c r="BP25" t="s">
        <v>27</v>
      </c>
      <c r="BR25" t="s">
        <v>92</v>
      </c>
      <c r="BS25" s="1">
        <v>7</v>
      </c>
      <c r="BT25" s="13">
        <v>45132</v>
      </c>
      <c r="BU25">
        <v>5</v>
      </c>
      <c r="BV25">
        <v>0</v>
      </c>
      <c r="BW25">
        <v>5</v>
      </c>
      <c r="BX25" s="51" t="s">
        <v>33</v>
      </c>
      <c r="BY25" s="51" t="s">
        <v>33</v>
      </c>
      <c r="BZ25" s="51" t="s">
        <v>27</v>
      </c>
      <c r="CC25" s="37" t="s">
        <v>92</v>
      </c>
      <c r="CD25" s="35">
        <f t="shared" si="0"/>
        <v>45</v>
      </c>
      <c r="CF25" s="28" t="s">
        <v>93</v>
      </c>
      <c r="CG25" s="29">
        <f>SUM(CD86)</f>
        <v>4</v>
      </c>
      <c r="CH25" s="29">
        <f>COUNTIF(CD86,"&lt;&gt;")</f>
        <v>1</v>
      </c>
      <c r="CI25" s="29">
        <f>COUNTIF(CD86,"&gt;0")</f>
        <v>1</v>
      </c>
      <c r="CJ25" s="41">
        <f t="shared" si="1"/>
        <v>100</v>
      </c>
    </row>
    <row r="26" spans="1:88" ht="14.4" x14ac:dyDescent="0.3">
      <c r="A26" t="s">
        <v>94</v>
      </c>
      <c r="B26" t="s">
        <v>81</v>
      </c>
      <c r="C26">
        <v>32.438510000000001</v>
      </c>
      <c r="D26">
        <v>-83.496639999999999</v>
      </c>
      <c r="E26" s="117">
        <v>45071</v>
      </c>
      <c r="F26" s="13">
        <v>45083</v>
      </c>
      <c r="H26" s="1" t="s">
        <v>25</v>
      </c>
      <c r="I26" s="12" t="s">
        <v>26</v>
      </c>
      <c r="J26" t="s">
        <v>94</v>
      </c>
      <c r="K26" s="6">
        <v>1</v>
      </c>
      <c r="L26" s="13">
        <v>45090</v>
      </c>
      <c r="M26">
        <v>0</v>
      </c>
      <c r="N26">
        <v>1</v>
      </c>
      <c r="O26">
        <v>1</v>
      </c>
      <c r="P26" t="s">
        <v>45</v>
      </c>
      <c r="Q26" s="6" t="s">
        <v>27</v>
      </c>
      <c r="R26" s="6" t="s">
        <v>28</v>
      </c>
      <c r="S26" s="2"/>
      <c r="T26" t="s">
        <v>94</v>
      </c>
      <c r="U26" s="6">
        <v>2</v>
      </c>
      <c r="V26" s="13">
        <v>45097</v>
      </c>
      <c r="W26">
        <v>3</v>
      </c>
      <c r="X26">
        <v>0</v>
      </c>
      <c r="Y26">
        <v>3</v>
      </c>
      <c r="Z26" t="s">
        <v>27</v>
      </c>
      <c r="AA26" s="6" t="s">
        <v>27</v>
      </c>
      <c r="AB26" t="s">
        <v>95</v>
      </c>
      <c r="AD26" t="s">
        <v>94</v>
      </c>
      <c r="AE26" s="1">
        <v>3</v>
      </c>
      <c r="AF26" s="13">
        <v>45104</v>
      </c>
      <c r="AG26">
        <v>0</v>
      </c>
      <c r="AH26">
        <v>0</v>
      </c>
      <c r="AI26">
        <v>0</v>
      </c>
      <c r="AJ26" t="s">
        <v>27</v>
      </c>
      <c r="AK26" s="6" t="s">
        <v>27</v>
      </c>
      <c r="AL26" t="s">
        <v>27</v>
      </c>
      <c r="AN26" t="s">
        <v>94</v>
      </c>
      <c r="AO26" s="1">
        <v>4</v>
      </c>
      <c r="AP26" s="13">
        <v>45111</v>
      </c>
      <c r="AQ26">
        <v>1</v>
      </c>
      <c r="AR26">
        <v>2</v>
      </c>
      <c r="AS26">
        <v>3</v>
      </c>
      <c r="AT26" t="s">
        <v>33</v>
      </c>
      <c r="AU26" s="6" t="s">
        <v>33</v>
      </c>
      <c r="AV26" t="s">
        <v>27</v>
      </c>
      <c r="AX26" t="s">
        <v>94</v>
      </c>
      <c r="AY26" s="1">
        <v>5</v>
      </c>
      <c r="AZ26" s="13">
        <v>45118</v>
      </c>
      <c r="BA26">
        <v>4</v>
      </c>
      <c r="BB26">
        <v>5</v>
      </c>
      <c r="BC26">
        <v>9</v>
      </c>
      <c r="BD26" t="s">
        <v>33</v>
      </c>
      <c r="BE26" s="6" t="s">
        <v>33</v>
      </c>
      <c r="BF26" t="s">
        <v>27</v>
      </c>
      <c r="BH26" t="s">
        <v>94</v>
      </c>
      <c r="BI26" s="1">
        <v>6</v>
      </c>
      <c r="BJ26" s="13">
        <v>45125</v>
      </c>
      <c r="BK26">
        <v>6</v>
      </c>
      <c r="BL26">
        <v>5</v>
      </c>
      <c r="BM26">
        <v>11</v>
      </c>
      <c r="BN26" t="s">
        <v>33</v>
      </c>
      <c r="BO26" s="6" t="s">
        <v>33</v>
      </c>
      <c r="BP26" t="s">
        <v>27</v>
      </c>
      <c r="BR26" t="s">
        <v>94</v>
      </c>
      <c r="BS26" s="1">
        <v>7</v>
      </c>
      <c r="BT26" s="13">
        <v>45132</v>
      </c>
      <c r="BU26">
        <v>3</v>
      </c>
      <c r="BV26">
        <v>3</v>
      </c>
      <c r="BW26">
        <v>6</v>
      </c>
      <c r="BX26" s="51" t="s">
        <v>33</v>
      </c>
      <c r="BY26" s="51" t="s">
        <v>33</v>
      </c>
      <c r="BZ26" s="51" t="s">
        <v>27</v>
      </c>
      <c r="CC26" s="37" t="s">
        <v>94</v>
      </c>
      <c r="CD26" s="35">
        <f t="shared" si="0"/>
        <v>33</v>
      </c>
      <c r="CF26" s="28" t="s">
        <v>96</v>
      </c>
      <c r="CG26" s="29">
        <f>SUM(CD83,CD85,CD90:CD92,CD97,CD109,CD112,CD115:CD117,CD124,CD126:CD127,CD129,CD132:CD133)</f>
        <v>147</v>
      </c>
      <c r="CH26" s="29" cm="1">
        <f t="array" aca="1" ref="CH26" ca="1">SUM(COUNTIF(INDIRECT({"CD83","CD85","CD90:CD92","CD97","CD109","CD112","CD115:CD117","CD124","CD126:CD127","CD129","CD132:CD133"}),"&lt;&gt;"))</f>
        <v>17</v>
      </c>
      <c r="CI26" s="29" cm="1">
        <f t="array" aca="1" ref="CI26" ca="1">SUM(COUNTIF(INDIRECT({"CD83","CD85","CD90:CD92","CD97","CD109","CD112","CD115:CD117","CD124","CD126:CD127","CD129","CD132:CD133"}),"&gt;0"))</f>
        <v>12</v>
      </c>
      <c r="CJ26" s="41">
        <f t="shared" ca="1" si="1"/>
        <v>70.588235294117652</v>
      </c>
    </row>
    <row r="27" spans="1:88" thickBot="1" x14ac:dyDescent="0.35">
      <c r="A27" t="s">
        <v>97</v>
      </c>
      <c r="B27" t="s">
        <v>81</v>
      </c>
      <c r="C27">
        <v>32.444609999999997</v>
      </c>
      <c r="D27">
        <v>-83.522580000000005</v>
      </c>
      <c r="E27" s="117">
        <v>45069</v>
      </c>
      <c r="F27" s="13">
        <v>45084</v>
      </c>
      <c r="H27" s="1" t="s">
        <v>25</v>
      </c>
      <c r="I27" s="12" t="s">
        <v>26</v>
      </c>
      <c r="J27" t="s">
        <v>97</v>
      </c>
      <c r="K27" s="6">
        <v>1</v>
      </c>
      <c r="L27" s="13">
        <v>45091</v>
      </c>
      <c r="M27">
        <v>3</v>
      </c>
      <c r="N27">
        <v>2</v>
      </c>
      <c r="O27">
        <v>5</v>
      </c>
      <c r="P27" t="s">
        <v>33</v>
      </c>
      <c r="Q27" s="6" t="s">
        <v>33</v>
      </c>
      <c r="R27" s="6" t="s">
        <v>27</v>
      </c>
      <c r="S27" s="2"/>
      <c r="T27" t="s">
        <v>97</v>
      </c>
      <c r="U27" s="6">
        <v>2</v>
      </c>
      <c r="V27" s="13">
        <v>45098</v>
      </c>
      <c r="W27">
        <v>3</v>
      </c>
      <c r="X27">
        <v>1</v>
      </c>
      <c r="Y27">
        <v>4</v>
      </c>
      <c r="Z27" t="s">
        <v>33</v>
      </c>
      <c r="AA27" s="6" t="s">
        <v>33</v>
      </c>
      <c r="AB27" t="s">
        <v>27</v>
      </c>
      <c r="AD27" t="s">
        <v>97</v>
      </c>
      <c r="AE27" s="1">
        <v>3</v>
      </c>
      <c r="AF27" s="13">
        <v>45105</v>
      </c>
      <c r="AG27">
        <v>0</v>
      </c>
      <c r="AH27">
        <v>0</v>
      </c>
      <c r="AI27">
        <v>0</v>
      </c>
      <c r="AJ27" t="s">
        <v>27</v>
      </c>
      <c r="AK27" s="6" t="s">
        <v>27</v>
      </c>
      <c r="AL27" t="s">
        <v>27</v>
      </c>
      <c r="AN27" t="s">
        <v>97</v>
      </c>
      <c r="AO27" s="1">
        <v>4</v>
      </c>
      <c r="AP27" s="13">
        <v>45112</v>
      </c>
      <c r="AQ27">
        <v>0</v>
      </c>
      <c r="AR27">
        <v>0</v>
      </c>
      <c r="AS27">
        <v>0</v>
      </c>
      <c r="AT27" t="s">
        <v>27</v>
      </c>
      <c r="AU27" s="6" t="s">
        <v>27</v>
      </c>
      <c r="AV27" t="s">
        <v>27</v>
      </c>
      <c r="AX27" t="s">
        <v>97</v>
      </c>
      <c r="AY27" s="1">
        <v>5</v>
      </c>
      <c r="AZ27" s="13">
        <v>45119</v>
      </c>
      <c r="BA27">
        <v>0</v>
      </c>
      <c r="BB27">
        <v>0</v>
      </c>
      <c r="BC27">
        <v>0</v>
      </c>
      <c r="BD27" t="s">
        <v>27</v>
      </c>
      <c r="BE27" s="6" t="s">
        <v>27</v>
      </c>
      <c r="BF27" t="s">
        <v>27</v>
      </c>
      <c r="BH27" t="s">
        <v>97</v>
      </c>
      <c r="BI27" s="1">
        <v>6</v>
      </c>
      <c r="BJ27" s="13">
        <v>45126</v>
      </c>
      <c r="BK27">
        <v>6</v>
      </c>
      <c r="BL27">
        <v>3</v>
      </c>
      <c r="BM27">
        <v>9</v>
      </c>
      <c r="BN27" t="s">
        <v>33</v>
      </c>
      <c r="BO27" s="6" t="s">
        <v>33</v>
      </c>
      <c r="BP27" t="s">
        <v>27</v>
      </c>
      <c r="BR27" t="s">
        <v>97</v>
      </c>
      <c r="BS27" s="1">
        <v>7</v>
      </c>
      <c r="BT27" s="13">
        <v>45133</v>
      </c>
      <c r="BU27">
        <v>1</v>
      </c>
      <c r="BV27">
        <v>1</v>
      </c>
      <c r="BW27">
        <v>2</v>
      </c>
      <c r="BX27" s="51" t="s">
        <v>33</v>
      </c>
      <c r="BY27" s="51" t="s">
        <v>33</v>
      </c>
      <c r="BZ27" s="51" t="s">
        <v>27</v>
      </c>
      <c r="CC27" s="37" t="s">
        <v>97</v>
      </c>
      <c r="CD27" s="35">
        <f t="shared" si="0"/>
        <v>20</v>
      </c>
      <c r="CF27" s="28" t="s">
        <v>98</v>
      </c>
      <c r="CG27" s="29">
        <f>SUM(CD114,CD121:CD122)</f>
        <v>6</v>
      </c>
      <c r="CH27" s="29" cm="1">
        <f t="array" aca="1" ref="CH27" ca="1">SUM(COUNTIF(INDIRECT({"CD114","CD121:CD122"}),"&lt;&gt;"))</f>
        <v>3</v>
      </c>
      <c r="CI27" s="29" cm="1">
        <f t="array" aca="1" ref="CI27" ca="1">SUM(COUNTIF(INDIRECT({"CD114","CD121:CD122"}),"&gt;0"))</f>
        <v>1</v>
      </c>
      <c r="CJ27" s="41">
        <f t="shared" ca="1" si="1"/>
        <v>33.333333333333329</v>
      </c>
    </row>
    <row r="28" spans="1:88" thickBot="1" x14ac:dyDescent="0.35">
      <c r="A28" t="s">
        <v>99</v>
      </c>
      <c r="B28" t="s">
        <v>81</v>
      </c>
      <c r="C28">
        <v>32.444719999999997</v>
      </c>
      <c r="D28">
        <v>-83.505449999999996</v>
      </c>
      <c r="E28" s="117">
        <v>45071</v>
      </c>
      <c r="F28" s="13">
        <v>45083</v>
      </c>
      <c r="H28" s="1" t="s">
        <v>25</v>
      </c>
      <c r="I28" s="12" t="s">
        <v>26</v>
      </c>
      <c r="J28" t="s">
        <v>99</v>
      </c>
      <c r="K28" s="6">
        <v>1</v>
      </c>
      <c r="L28" s="13">
        <v>45090</v>
      </c>
      <c r="M28">
        <v>0</v>
      </c>
      <c r="N28">
        <v>0</v>
      </c>
      <c r="O28">
        <v>0</v>
      </c>
      <c r="P28" t="s">
        <v>27</v>
      </c>
      <c r="Q28" s="6" t="s">
        <v>27</v>
      </c>
      <c r="R28" s="6" t="s">
        <v>27</v>
      </c>
      <c r="S28" s="2"/>
      <c r="T28" t="s">
        <v>99</v>
      </c>
      <c r="U28" s="6">
        <v>2</v>
      </c>
      <c r="V28" s="13">
        <v>45097</v>
      </c>
      <c r="W28">
        <v>0</v>
      </c>
      <c r="X28">
        <v>0</v>
      </c>
      <c r="Y28">
        <v>0</v>
      </c>
      <c r="Z28" t="s">
        <v>27</v>
      </c>
      <c r="AA28" s="6" t="s">
        <v>27</v>
      </c>
      <c r="AB28" t="s">
        <v>27</v>
      </c>
      <c r="AD28" t="s">
        <v>99</v>
      </c>
      <c r="AE28" s="1">
        <v>3</v>
      </c>
      <c r="AF28" s="13">
        <v>45104</v>
      </c>
      <c r="AG28">
        <v>5</v>
      </c>
      <c r="AH28">
        <v>6</v>
      </c>
      <c r="AI28">
        <v>11</v>
      </c>
      <c r="AJ28" t="s">
        <v>33</v>
      </c>
      <c r="AK28" s="6" t="s">
        <v>27</v>
      </c>
      <c r="AL28" t="s">
        <v>27</v>
      </c>
      <c r="AN28" t="s">
        <v>99</v>
      </c>
      <c r="AO28" s="1">
        <v>4</v>
      </c>
      <c r="AP28" s="13">
        <v>45111</v>
      </c>
      <c r="AQ28">
        <v>14</v>
      </c>
      <c r="AR28">
        <v>20</v>
      </c>
      <c r="AS28">
        <v>34</v>
      </c>
      <c r="AT28" t="s">
        <v>33</v>
      </c>
      <c r="AU28" s="6" t="s">
        <v>33</v>
      </c>
      <c r="AV28" t="s">
        <v>27</v>
      </c>
      <c r="AX28" t="s">
        <v>99</v>
      </c>
      <c r="AY28" s="1">
        <v>5</v>
      </c>
      <c r="AZ28" s="13">
        <v>45118</v>
      </c>
      <c r="BA28">
        <v>14</v>
      </c>
      <c r="BB28">
        <v>18</v>
      </c>
      <c r="BC28">
        <v>32</v>
      </c>
      <c r="BD28" t="s">
        <v>33</v>
      </c>
      <c r="BE28" s="6" t="s">
        <v>33</v>
      </c>
      <c r="BF28" t="s">
        <v>27</v>
      </c>
      <c r="BH28" t="s">
        <v>99</v>
      </c>
      <c r="BI28" s="1">
        <v>6</v>
      </c>
      <c r="BJ28" s="13">
        <v>45125</v>
      </c>
      <c r="BK28">
        <v>22</v>
      </c>
      <c r="BL28">
        <v>9</v>
      </c>
      <c r="BM28">
        <v>31</v>
      </c>
      <c r="BN28" t="s">
        <v>33</v>
      </c>
      <c r="BO28" s="6" t="s">
        <v>33</v>
      </c>
      <c r="BP28" t="s">
        <v>27</v>
      </c>
      <c r="BR28" t="s">
        <v>99</v>
      </c>
      <c r="BS28" s="1">
        <v>7</v>
      </c>
      <c r="BT28" s="13">
        <v>45132</v>
      </c>
      <c r="BU28">
        <v>0</v>
      </c>
      <c r="BV28">
        <v>6</v>
      </c>
      <c r="BW28">
        <v>6</v>
      </c>
      <c r="BX28" s="51" t="s">
        <v>33</v>
      </c>
      <c r="BY28" s="51" t="s">
        <v>33</v>
      </c>
      <c r="BZ28" s="51" t="s">
        <v>27</v>
      </c>
      <c r="CC28" s="37" t="s">
        <v>99</v>
      </c>
      <c r="CD28" s="35">
        <f t="shared" si="0"/>
        <v>114</v>
      </c>
      <c r="CF28" s="25" t="s">
        <v>100</v>
      </c>
      <c r="CG28" s="25">
        <f>SUM(CG11:CG27)</f>
        <v>1462</v>
      </c>
      <c r="CH28" s="25">
        <f ca="1">SUM(CH11:CH27)</f>
        <v>130</v>
      </c>
      <c r="CI28" s="25">
        <f ca="1">SUM(CI11:CI27)</f>
        <v>85</v>
      </c>
      <c r="CJ28" s="27">
        <f t="shared" ca="1" si="1"/>
        <v>65.384615384615387</v>
      </c>
    </row>
    <row r="29" spans="1:88" ht="14.4" x14ac:dyDescent="0.3">
      <c r="A29" t="s">
        <v>101</v>
      </c>
      <c r="B29" t="s">
        <v>81</v>
      </c>
      <c r="C29" s="118">
        <v>32.45919</v>
      </c>
      <c r="D29" s="118">
        <v>-83.570359999999994</v>
      </c>
      <c r="E29" s="117">
        <v>45069</v>
      </c>
      <c r="F29" s="13">
        <v>45084</v>
      </c>
      <c r="H29" s="1" t="s">
        <v>25</v>
      </c>
      <c r="I29" s="12" t="s">
        <v>26</v>
      </c>
      <c r="J29" t="s">
        <v>101</v>
      </c>
      <c r="K29" s="6">
        <v>1</v>
      </c>
      <c r="L29" s="13">
        <v>45091</v>
      </c>
      <c r="M29">
        <v>0</v>
      </c>
      <c r="N29">
        <v>0</v>
      </c>
      <c r="O29">
        <v>0</v>
      </c>
      <c r="P29" t="s">
        <v>27</v>
      </c>
      <c r="Q29" s="6" t="s">
        <v>27</v>
      </c>
      <c r="R29" s="6" t="s">
        <v>27</v>
      </c>
      <c r="S29" s="2"/>
      <c r="T29" t="s">
        <v>101</v>
      </c>
      <c r="U29" s="6">
        <v>2</v>
      </c>
      <c r="V29" s="13">
        <v>45098</v>
      </c>
      <c r="W29">
        <v>7</v>
      </c>
      <c r="X29">
        <v>0</v>
      </c>
      <c r="Y29">
        <v>7</v>
      </c>
      <c r="Z29" t="s">
        <v>33</v>
      </c>
      <c r="AA29" s="6" t="s">
        <v>33</v>
      </c>
      <c r="AB29" t="s">
        <v>27</v>
      </c>
      <c r="AD29" t="s">
        <v>101</v>
      </c>
      <c r="AE29" s="1">
        <v>3</v>
      </c>
      <c r="AF29" s="13">
        <v>45105</v>
      </c>
      <c r="AG29">
        <v>0</v>
      </c>
      <c r="AH29">
        <v>0</v>
      </c>
      <c r="AI29">
        <v>0</v>
      </c>
      <c r="AJ29" t="s">
        <v>27</v>
      </c>
      <c r="AK29" s="6" t="s">
        <v>27</v>
      </c>
      <c r="AL29" t="s">
        <v>27</v>
      </c>
      <c r="AN29" t="s">
        <v>101</v>
      </c>
      <c r="AO29" s="1">
        <v>4</v>
      </c>
      <c r="AP29" s="13">
        <v>45112</v>
      </c>
      <c r="AQ29">
        <v>0</v>
      </c>
      <c r="AR29">
        <v>0</v>
      </c>
      <c r="AS29">
        <v>0</v>
      </c>
      <c r="AT29" t="s">
        <v>27</v>
      </c>
      <c r="AU29" s="6" t="s">
        <v>27</v>
      </c>
      <c r="AV29" t="s">
        <v>27</v>
      </c>
      <c r="AX29" t="s">
        <v>101</v>
      </c>
      <c r="AY29" s="1">
        <v>5</v>
      </c>
      <c r="AZ29" s="13">
        <v>45119</v>
      </c>
      <c r="BA29">
        <v>2</v>
      </c>
      <c r="BB29">
        <v>0</v>
      </c>
      <c r="BC29">
        <v>2</v>
      </c>
      <c r="BD29" t="s">
        <v>33</v>
      </c>
      <c r="BE29" s="6" t="s">
        <v>33</v>
      </c>
      <c r="BF29" t="s">
        <v>27</v>
      </c>
      <c r="BH29" t="s">
        <v>101</v>
      </c>
      <c r="BI29" s="1">
        <v>6</v>
      </c>
      <c r="BJ29" s="13">
        <v>45126</v>
      </c>
      <c r="BK29">
        <v>3</v>
      </c>
      <c r="BL29">
        <v>0</v>
      </c>
      <c r="BM29">
        <v>3</v>
      </c>
      <c r="BN29" t="s">
        <v>33</v>
      </c>
      <c r="BO29" s="6" t="s">
        <v>33</v>
      </c>
      <c r="BP29" t="s">
        <v>27</v>
      </c>
      <c r="BR29" t="s">
        <v>101</v>
      </c>
      <c r="BS29" s="1">
        <v>7</v>
      </c>
      <c r="BT29" s="13">
        <v>45133</v>
      </c>
      <c r="BU29">
        <v>1</v>
      </c>
      <c r="BV29">
        <v>0</v>
      </c>
      <c r="BW29">
        <v>1</v>
      </c>
      <c r="BX29" s="51" t="s">
        <v>33</v>
      </c>
      <c r="BY29" s="51" t="s">
        <v>33</v>
      </c>
      <c r="BZ29" s="51" t="s">
        <v>27</v>
      </c>
      <c r="CC29" s="37" t="s">
        <v>101</v>
      </c>
      <c r="CD29" s="35">
        <f t="shared" si="0"/>
        <v>13</v>
      </c>
    </row>
    <row r="30" spans="1:88" ht="14.4" x14ac:dyDescent="0.3">
      <c r="A30" t="s">
        <v>102</v>
      </c>
      <c r="B30" t="s">
        <v>81</v>
      </c>
      <c r="C30" s="21">
        <v>32.459400000000002</v>
      </c>
      <c r="D30" s="21">
        <v>-83.556150000000002</v>
      </c>
      <c r="E30" s="117">
        <v>45070</v>
      </c>
      <c r="F30" s="13">
        <v>45084</v>
      </c>
      <c r="H30" s="1" t="s">
        <v>25</v>
      </c>
      <c r="I30" s="12" t="s">
        <v>26</v>
      </c>
      <c r="J30" t="s">
        <v>102</v>
      </c>
      <c r="K30" s="6">
        <v>1</v>
      </c>
      <c r="L30" s="13">
        <v>45091</v>
      </c>
      <c r="M30">
        <v>0</v>
      </c>
      <c r="N30">
        <v>0</v>
      </c>
      <c r="O30">
        <v>0</v>
      </c>
      <c r="P30" t="s">
        <v>27</v>
      </c>
      <c r="Q30" s="6" t="s">
        <v>27</v>
      </c>
      <c r="R30" s="6" t="s">
        <v>27</v>
      </c>
      <c r="S30" s="2"/>
      <c r="T30" t="s">
        <v>102</v>
      </c>
      <c r="U30" s="6">
        <v>2</v>
      </c>
      <c r="V30" s="13">
        <v>45098</v>
      </c>
      <c r="W30">
        <v>0</v>
      </c>
      <c r="X30">
        <v>0</v>
      </c>
      <c r="Y30">
        <v>0</v>
      </c>
      <c r="Z30" t="s">
        <v>27</v>
      </c>
      <c r="AA30" s="6" t="s">
        <v>27</v>
      </c>
      <c r="AB30" t="s">
        <v>27</v>
      </c>
      <c r="AD30" t="s">
        <v>102</v>
      </c>
      <c r="AE30" s="1">
        <v>3</v>
      </c>
      <c r="AF30" s="13">
        <v>45105</v>
      </c>
      <c r="AG30">
        <v>0</v>
      </c>
      <c r="AH30">
        <v>0</v>
      </c>
      <c r="AI30">
        <v>0</v>
      </c>
      <c r="AJ30" t="s">
        <v>27</v>
      </c>
      <c r="AK30" s="6" t="s">
        <v>27</v>
      </c>
      <c r="AL30" t="s">
        <v>27</v>
      </c>
      <c r="AN30" t="s">
        <v>102</v>
      </c>
      <c r="AO30" s="1">
        <v>4</v>
      </c>
      <c r="AP30" s="13">
        <v>45112</v>
      </c>
      <c r="AQ30">
        <v>0</v>
      </c>
      <c r="AR30">
        <v>0</v>
      </c>
      <c r="AS30">
        <v>0</v>
      </c>
      <c r="AT30" t="s">
        <v>27</v>
      </c>
      <c r="AU30" s="6" t="s">
        <v>27</v>
      </c>
      <c r="AV30" t="s">
        <v>27</v>
      </c>
      <c r="AX30" t="s">
        <v>102</v>
      </c>
      <c r="AY30" s="1">
        <v>5</v>
      </c>
      <c r="AZ30" s="13">
        <v>45119</v>
      </c>
      <c r="BA30">
        <v>0</v>
      </c>
      <c r="BB30">
        <v>0</v>
      </c>
      <c r="BC30">
        <v>0</v>
      </c>
      <c r="BD30" t="s">
        <v>27</v>
      </c>
      <c r="BE30" s="6" t="s">
        <v>27</v>
      </c>
      <c r="BF30" t="s">
        <v>27</v>
      </c>
      <c r="BH30" t="s">
        <v>102</v>
      </c>
      <c r="BI30" s="1">
        <v>6</v>
      </c>
      <c r="BJ30" s="13">
        <v>45126</v>
      </c>
      <c r="BK30">
        <v>3</v>
      </c>
      <c r="BL30">
        <v>0</v>
      </c>
      <c r="BM30">
        <v>3</v>
      </c>
      <c r="BN30" t="s">
        <v>33</v>
      </c>
      <c r="BO30" s="6" t="s">
        <v>33</v>
      </c>
      <c r="BP30" t="s">
        <v>45</v>
      </c>
      <c r="BR30" t="s">
        <v>102</v>
      </c>
      <c r="BS30" s="1">
        <v>7</v>
      </c>
      <c r="BT30" s="13">
        <v>45133</v>
      </c>
      <c r="BU30">
        <v>2</v>
      </c>
      <c r="BV30">
        <v>0</v>
      </c>
      <c r="BW30">
        <v>2</v>
      </c>
      <c r="BX30" s="51" t="s">
        <v>33</v>
      </c>
      <c r="BY30" s="51" t="s">
        <v>33</v>
      </c>
      <c r="BZ30" s="51" t="s">
        <v>27</v>
      </c>
      <c r="CC30" s="37" t="s">
        <v>102</v>
      </c>
      <c r="CD30" s="35">
        <f t="shared" si="0"/>
        <v>5</v>
      </c>
    </row>
    <row r="31" spans="1:88" ht="14.4" x14ac:dyDescent="0.3">
      <c r="A31" t="s">
        <v>103</v>
      </c>
      <c r="B31" t="s">
        <v>81</v>
      </c>
      <c r="C31">
        <v>32.45655</v>
      </c>
      <c r="D31">
        <v>-83.543989999999994</v>
      </c>
      <c r="E31" s="117">
        <v>45071</v>
      </c>
      <c r="F31" s="13">
        <v>45084</v>
      </c>
      <c r="H31" s="1" t="s">
        <v>25</v>
      </c>
      <c r="I31" s="12" t="s">
        <v>26</v>
      </c>
      <c r="J31" t="s">
        <v>103</v>
      </c>
      <c r="K31" s="6">
        <v>1</v>
      </c>
      <c r="L31" s="13">
        <v>45091</v>
      </c>
      <c r="M31">
        <v>2</v>
      </c>
      <c r="N31">
        <v>0</v>
      </c>
      <c r="O31">
        <v>2</v>
      </c>
      <c r="P31" t="s">
        <v>33</v>
      </c>
      <c r="Q31" s="6" t="s">
        <v>33</v>
      </c>
      <c r="R31" s="6" t="s">
        <v>45</v>
      </c>
      <c r="S31" s="2"/>
      <c r="T31" t="s">
        <v>103</v>
      </c>
      <c r="U31" s="6">
        <v>2</v>
      </c>
      <c r="V31" s="13">
        <v>45098</v>
      </c>
      <c r="W31">
        <v>0</v>
      </c>
      <c r="X31">
        <v>0</v>
      </c>
      <c r="Y31">
        <v>0</v>
      </c>
      <c r="Z31" t="s">
        <v>45</v>
      </c>
      <c r="AA31" s="6" t="s">
        <v>33</v>
      </c>
      <c r="AB31" t="s">
        <v>45</v>
      </c>
      <c r="AD31" t="s">
        <v>103</v>
      </c>
      <c r="AE31" s="1">
        <v>3</v>
      </c>
      <c r="AF31" s="13">
        <v>45105</v>
      </c>
      <c r="AG31">
        <v>22</v>
      </c>
      <c r="AH31">
        <v>2</v>
      </c>
      <c r="AI31">
        <v>24</v>
      </c>
      <c r="AJ31" t="s">
        <v>33</v>
      </c>
      <c r="AK31" s="6" t="s">
        <v>33</v>
      </c>
      <c r="AL31" t="s">
        <v>27</v>
      </c>
      <c r="AN31" t="s">
        <v>103</v>
      </c>
      <c r="AO31" s="1">
        <v>4</v>
      </c>
      <c r="AP31" s="13">
        <v>45112</v>
      </c>
      <c r="AQ31">
        <v>6</v>
      </c>
      <c r="AR31">
        <v>0</v>
      </c>
      <c r="AS31">
        <v>6</v>
      </c>
      <c r="AT31" t="s">
        <v>33</v>
      </c>
      <c r="AU31" s="6" t="s">
        <v>33</v>
      </c>
      <c r="AV31" t="s">
        <v>45</v>
      </c>
      <c r="AX31" t="s">
        <v>103</v>
      </c>
      <c r="AY31" s="1">
        <v>5</v>
      </c>
      <c r="AZ31" s="13">
        <v>45119</v>
      </c>
      <c r="BA31">
        <v>2</v>
      </c>
      <c r="BB31">
        <v>0</v>
      </c>
      <c r="BC31">
        <v>2</v>
      </c>
      <c r="BD31" t="s">
        <v>33</v>
      </c>
      <c r="BE31" s="6" t="s">
        <v>33</v>
      </c>
      <c r="BF31" t="s">
        <v>27</v>
      </c>
      <c r="BH31" t="s">
        <v>103</v>
      </c>
      <c r="BI31" s="1">
        <v>6</v>
      </c>
      <c r="BJ31" s="13">
        <v>45126</v>
      </c>
      <c r="BK31">
        <v>8</v>
      </c>
      <c r="BL31">
        <v>3</v>
      </c>
      <c r="BM31">
        <v>11</v>
      </c>
      <c r="BN31" t="s">
        <v>33</v>
      </c>
      <c r="BO31" s="6" t="s">
        <v>33</v>
      </c>
      <c r="BP31" t="s">
        <v>27</v>
      </c>
      <c r="BR31" t="s">
        <v>103</v>
      </c>
      <c r="BS31" s="1">
        <v>7</v>
      </c>
      <c r="BT31" s="13">
        <v>45133</v>
      </c>
      <c r="BU31">
        <v>2</v>
      </c>
      <c r="BV31">
        <v>1</v>
      </c>
      <c r="BW31">
        <v>3</v>
      </c>
      <c r="BX31" s="51" t="s">
        <v>33</v>
      </c>
      <c r="BY31" s="51" t="s">
        <v>33</v>
      </c>
      <c r="BZ31" s="51" t="s">
        <v>27</v>
      </c>
      <c r="CC31" s="37" t="s">
        <v>103</v>
      </c>
      <c r="CD31" s="35">
        <f t="shared" si="0"/>
        <v>48</v>
      </c>
    </row>
    <row r="32" spans="1:88" ht="14.4" x14ac:dyDescent="0.3">
      <c r="A32" t="s">
        <v>104</v>
      </c>
      <c r="B32" t="s">
        <v>81</v>
      </c>
      <c r="C32">
        <v>32.451880000000003</v>
      </c>
      <c r="D32">
        <v>-83.534310000000005</v>
      </c>
      <c r="E32" s="117">
        <v>45068</v>
      </c>
      <c r="F32" s="13">
        <v>45084</v>
      </c>
      <c r="H32" s="1" t="s">
        <v>25</v>
      </c>
      <c r="I32" s="12" t="s">
        <v>26</v>
      </c>
      <c r="J32" t="s">
        <v>104</v>
      </c>
      <c r="K32" s="6">
        <v>1</v>
      </c>
      <c r="L32" s="13">
        <v>45091</v>
      </c>
      <c r="M32">
        <v>0</v>
      </c>
      <c r="N32">
        <v>0</v>
      </c>
      <c r="O32">
        <v>0</v>
      </c>
      <c r="P32" t="s">
        <v>27</v>
      </c>
      <c r="Q32" s="6" t="s">
        <v>27</v>
      </c>
      <c r="R32" s="6" t="s">
        <v>27</v>
      </c>
      <c r="S32" s="2"/>
      <c r="T32" t="s">
        <v>104</v>
      </c>
      <c r="U32" s="6">
        <v>2</v>
      </c>
      <c r="V32" s="13">
        <v>45098</v>
      </c>
      <c r="W32">
        <v>0</v>
      </c>
      <c r="X32">
        <v>0</v>
      </c>
      <c r="Y32">
        <v>0</v>
      </c>
      <c r="Z32" t="s">
        <v>27</v>
      </c>
      <c r="AA32" s="6" t="s">
        <v>27</v>
      </c>
      <c r="AB32" t="s">
        <v>27</v>
      </c>
      <c r="AD32" t="s">
        <v>104</v>
      </c>
      <c r="AE32" s="1">
        <v>3</v>
      </c>
      <c r="AF32" s="13">
        <v>45105</v>
      </c>
      <c r="AG32">
        <v>0</v>
      </c>
      <c r="AH32">
        <v>0</v>
      </c>
      <c r="AI32">
        <v>0</v>
      </c>
      <c r="AJ32" t="s">
        <v>27</v>
      </c>
      <c r="AK32" s="6" t="s">
        <v>27</v>
      </c>
      <c r="AL32" t="s">
        <v>27</v>
      </c>
      <c r="AN32" t="s">
        <v>104</v>
      </c>
      <c r="AO32" s="1">
        <v>4</v>
      </c>
      <c r="AP32" s="13">
        <v>45112</v>
      </c>
      <c r="AQ32">
        <v>0</v>
      </c>
      <c r="AR32">
        <v>0</v>
      </c>
      <c r="AS32">
        <v>0</v>
      </c>
      <c r="AT32" t="s">
        <v>27</v>
      </c>
      <c r="AU32" s="6" t="s">
        <v>27</v>
      </c>
      <c r="AV32" t="s">
        <v>27</v>
      </c>
      <c r="AX32" t="s">
        <v>104</v>
      </c>
      <c r="AY32" s="1">
        <v>5</v>
      </c>
      <c r="AZ32" s="13">
        <v>45119</v>
      </c>
      <c r="BA32">
        <v>0</v>
      </c>
      <c r="BB32">
        <v>0</v>
      </c>
      <c r="BC32">
        <v>0</v>
      </c>
      <c r="BD32" t="s">
        <v>27</v>
      </c>
      <c r="BE32" s="6" t="s">
        <v>27</v>
      </c>
      <c r="BF32" t="s">
        <v>27</v>
      </c>
      <c r="BH32" t="s">
        <v>104</v>
      </c>
      <c r="BI32" s="1">
        <v>6</v>
      </c>
      <c r="BJ32" s="13">
        <v>45126</v>
      </c>
      <c r="BK32">
        <v>0</v>
      </c>
      <c r="BL32">
        <v>0</v>
      </c>
      <c r="BM32">
        <v>0</v>
      </c>
      <c r="BN32" t="s">
        <v>27</v>
      </c>
      <c r="BO32" s="6" t="s">
        <v>27</v>
      </c>
      <c r="BP32" t="s">
        <v>27</v>
      </c>
      <c r="BR32" t="s">
        <v>104</v>
      </c>
      <c r="BS32" s="1">
        <v>7</v>
      </c>
      <c r="BT32" s="13">
        <v>45133</v>
      </c>
      <c r="BU32">
        <v>1</v>
      </c>
      <c r="BV32">
        <v>1</v>
      </c>
      <c r="BW32">
        <v>2</v>
      </c>
      <c r="BX32" s="51" t="s">
        <v>33</v>
      </c>
      <c r="BY32" s="51" t="s">
        <v>33</v>
      </c>
      <c r="BZ32" s="51" t="s">
        <v>27</v>
      </c>
      <c r="CC32" s="37" t="s">
        <v>104</v>
      </c>
      <c r="CD32" s="35">
        <f t="shared" si="0"/>
        <v>2</v>
      </c>
    </row>
    <row r="33" spans="1:82" ht="14.4" x14ac:dyDescent="0.3">
      <c r="A33" t="s">
        <v>105</v>
      </c>
      <c r="B33" t="s">
        <v>81</v>
      </c>
      <c r="C33">
        <v>32.451729999999998</v>
      </c>
      <c r="D33">
        <v>-83.514070000000004</v>
      </c>
      <c r="E33" s="117">
        <v>45069</v>
      </c>
      <c r="F33" s="13">
        <v>45084</v>
      </c>
      <c r="H33" s="1" t="s">
        <v>25</v>
      </c>
      <c r="I33" s="12" t="s">
        <v>26</v>
      </c>
      <c r="J33" t="s">
        <v>105</v>
      </c>
      <c r="K33" s="6">
        <v>1</v>
      </c>
      <c r="L33" s="13">
        <v>45091</v>
      </c>
      <c r="M33">
        <v>0</v>
      </c>
      <c r="N33">
        <v>0</v>
      </c>
      <c r="O33">
        <v>0</v>
      </c>
      <c r="P33" t="s">
        <v>27</v>
      </c>
      <c r="Q33" s="6" t="s">
        <v>27</v>
      </c>
      <c r="R33" s="6" t="s">
        <v>27</v>
      </c>
      <c r="S33" s="2"/>
      <c r="T33" t="s">
        <v>105</v>
      </c>
      <c r="U33" s="6">
        <v>2</v>
      </c>
      <c r="V33" s="13">
        <v>45098</v>
      </c>
      <c r="W33">
        <v>0</v>
      </c>
      <c r="X33">
        <v>0</v>
      </c>
      <c r="Y33">
        <v>0</v>
      </c>
      <c r="Z33" t="s">
        <v>27</v>
      </c>
      <c r="AA33" s="6" t="s">
        <v>27</v>
      </c>
      <c r="AB33" t="s">
        <v>27</v>
      </c>
      <c r="AD33" t="s">
        <v>105</v>
      </c>
      <c r="AE33" s="1">
        <v>3</v>
      </c>
      <c r="AF33" s="13">
        <v>45105</v>
      </c>
      <c r="AG33">
        <v>0</v>
      </c>
      <c r="AH33">
        <v>0</v>
      </c>
      <c r="AI33">
        <v>0</v>
      </c>
      <c r="AJ33" t="s">
        <v>27</v>
      </c>
      <c r="AK33" s="6" t="s">
        <v>27</v>
      </c>
      <c r="AL33" t="s">
        <v>27</v>
      </c>
      <c r="AN33" t="s">
        <v>105</v>
      </c>
      <c r="AO33" s="1">
        <v>4</v>
      </c>
      <c r="AP33" s="13">
        <v>45112</v>
      </c>
      <c r="AQ33">
        <v>6</v>
      </c>
      <c r="AR33">
        <v>7</v>
      </c>
      <c r="AS33">
        <v>13</v>
      </c>
      <c r="AT33" t="s">
        <v>33</v>
      </c>
      <c r="AU33" s="6" t="s">
        <v>33</v>
      </c>
      <c r="AV33" t="s">
        <v>27</v>
      </c>
      <c r="AX33" t="s">
        <v>105</v>
      </c>
      <c r="AY33" s="1">
        <v>5</v>
      </c>
      <c r="AZ33" s="13">
        <v>45119</v>
      </c>
      <c r="BA33">
        <v>0</v>
      </c>
      <c r="BB33">
        <v>0</v>
      </c>
      <c r="BC33">
        <v>0</v>
      </c>
      <c r="BD33" t="s">
        <v>27</v>
      </c>
      <c r="BE33" s="6" t="s">
        <v>27</v>
      </c>
      <c r="BF33" t="s">
        <v>27</v>
      </c>
      <c r="BH33" t="s">
        <v>105</v>
      </c>
      <c r="BI33" s="1">
        <v>6</v>
      </c>
      <c r="BJ33" s="13">
        <v>45126</v>
      </c>
      <c r="BK33">
        <v>6</v>
      </c>
      <c r="BL33">
        <v>3</v>
      </c>
      <c r="BM33">
        <v>9</v>
      </c>
      <c r="BN33" t="s">
        <v>33</v>
      </c>
      <c r="BO33" s="6" t="s">
        <v>33</v>
      </c>
      <c r="BP33" t="s">
        <v>45</v>
      </c>
      <c r="BR33" t="s">
        <v>105</v>
      </c>
      <c r="BS33" s="1">
        <v>7</v>
      </c>
      <c r="BT33" s="13">
        <v>45133</v>
      </c>
      <c r="BU33">
        <v>1</v>
      </c>
      <c r="BV33">
        <v>1</v>
      </c>
      <c r="BW33">
        <v>2</v>
      </c>
      <c r="BX33" s="51" t="s">
        <v>33</v>
      </c>
      <c r="BY33" s="51" t="s">
        <v>33</v>
      </c>
      <c r="BZ33" s="51" t="s">
        <v>27</v>
      </c>
      <c r="CC33" s="37" t="s">
        <v>105</v>
      </c>
      <c r="CD33" s="35">
        <f t="shared" si="0"/>
        <v>24</v>
      </c>
    </row>
    <row r="34" spans="1:82" ht="14.4" x14ac:dyDescent="0.3">
      <c r="A34" t="s">
        <v>106</v>
      </c>
      <c r="B34" t="s">
        <v>81</v>
      </c>
      <c r="C34" s="21">
        <v>32.457999999999998</v>
      </c>
      <c r="D34">
        <v>-83.523340000000005</v>
      </c>
      <c r="E34" s="117">
        <v>45079</v>
      </c>
      <c r="F34" s="13">
        <v>45084</v>
      </c>
      <c r="H34" s="1" t="s">
        <v>25</v>
      </c>
      <c r="I34" s="12" t="s">
        <v>26</v>
      </c>
      <c r="J34" t="s">
        <v>106</v>
      </c>
      <c r="K34" s="6">
        <v>1</v>
      </c>
      <c r="L34" s="13">
        <v>45091</v>
      </c>
      <c r="M34">
        <v>0</v>
      </c>
      <c r="N34">
        <v>0</v>
      </c>
      <c r="O34">
        <v>0</v>
      </c>
      <c r="P34" t="s">
        <v>27</v>
      </c>
      <c r="Q34" s="6" t="s">
        <v>27</v>
      </c>
      <c r="R34" s="6" t="s">
        <v>27</v>
      </c>
      <c r="S34" s="2"/>
      <c r="T34" t="s">
        <v>106</v>
      </c>
      <c r="U34" s="6">
        <v>2</v>
      </c>
      <c r="V34" s="13">
        <v>45098</v>
      </c>
      <c r="W34">
        <v>0</v>
      </c>
      <c r="X34">
        <v>0</v>
      </c>
      <c r="Y34">
        <v>0</v>
      </c>
      <c r="Z34" t="s">
        <v>45</v>
      </c>
      <c r="AA34" s="6" t="s">
        <v>33</v>
      </c>
      <c r="AB34" t="s">
        <v>45</v>
      </c>
      <c r="AD34" t="s">
        <v>106</v>
      </c>
      <c r="AE34" s="1">
        <v>3</v>
      </c>
      <c r="AF34" s="13">
        <v>45105</v>
      </c>
      <c r="AG34">
        <v>0</v>
      </c>
      <c r="AH34">
        <v>0</v>
      </c>
      <c r="AI34">
        <v>0</v>
      </c>
      <c r="AJ34" t="s">
        <v>27</v>
      </c>
      <c r="AK34" s="6" t="s">
        <v>27</v>
      </c>
      <c r="AL34" t="s">
        <v>27</v>
      </c>
      <c r="AN34" t="s">
        <v>106</v>
      </c>
      <c r="AO34" s="1">
        <v>4</v>
      </c>
      <c r="AP34" s="13">
        <v>45112</v>
      </c>
      <c r="AQ34">
        <v>0</v>
      </c>
      <c r="AR34">
        <v>0</v>
      </c>
      <c r="AS34">
        <v>0</v>
      </c>
      <c r="AT34" t="s">
        <v>45</v>
      </c>
      <c r="AU34" s="6" t="s">
        <v>33</v>
      </c>
      <c r="AV34" t="s">
        <v>45</v>
      </c>
      <c r="AX34" t="s">
        <v>106</v>
      </c>
      <c r="AY34" s="1">
        <v>5</v>
      </c>
      <c r="AZ34" s="13">
        <v>45119</v>
      </c>
      <c r="BA34">
        <v>0</v>
      </c>
      <c r="BB34">
        <v>0</v>
      </c>
      <c r="BC34">
        <v>0</v>
      </c>
      <c r="BD34" t="s">
        <v>27</v>
      </c>
      <c r="BE34" s="6" t="s">
        <v>27</v>
      </c>
      <c r="BF34" t="s">
        <v>27</v>
      </c>
      <c r="BH34" t="s">
        <v>106</v>
      </c>
      <c r="BI34" s="1">
        <v>6</v>
      </c>
      <c r="BJ34" s="13">
        <v>45126</v>
      </c>
      <c r="BK34">
        <v>0</v>
      </c>
      <c r="BL34">
        <v>0</v>
      </c>
      <c r="BM34">
        <v>0</v>
      </c>
      <c r="BN34" t="s">
        <v>27</v>
      </c>
      <c r="BO34" s="6" t="s">
        <v>27</v>
      </c>
      <c r="BP34" t="s">
        <v>27</v>
      </c>
      <c r="BR34" t="s">
        <v>106</v>
      </c>
      <c r="BS34" s="1">
        <v>7</v>
      </c>
      <c r="BT34" s="13">
        <v>45133</v>
      </c>
      <c r="BU34">
        <v>0</v>
      </c>
      <c r="BV34">
        <v>0</v>
      </c>
      <c r="BW34">
        <v>0</v>
      </c>
      <c r="BX34" s="51" t="s">
        <v>27</v>
      </c>
      <c r="BY34" s="51" t="s">
        <v>27</v>
      </c>
      <c r="BZ34" s="51" t="s">
        <v>27</v>
      </c>
      <c r="CC34" s="37" t="s">
        <v>106</v>
      </c>
      <c r="CD34" s="35">
        <f t="shared" si="0"/>
        <v>0</v>
      </c>
    </row>
    <row r="35" spans="1:82" ht="14.4" x14ac:dyDescent="0.3">
      <c r="A35" t="s">
        <v>107</v>
      </c>
      <c r="B35" t="s">
        <v>81</v>
      </c>
      <c r="C35">
        <v>32.460859999999997</v>
      </c>
      <c r="D35">
        <v>-83.504180000000005</v>
      </c>
      <c r="E35" s="116"/>
      <c r="F35" s="13">
        <v>45084</v>
      </c>
      <c r="H35" s="1" t="s">
        <v>25</v>
      </c>
      <c r="I35" s="12" t="s">
        <v>26</v>
      </c>
      <c r="J35" t="s">
        <v>107</v>
      </c>
      <c r="K35" s="6">
        <v>1</v>
      </c>
      <c r="L35" s="13">
        <v>45091</v>
      </c>
      <c r="M35">
        <v>0</v>
      </c>
      <c r="N35">
        <v>0</v>
      </c>
      <c r="O35">
        <v>0</v>
      </c>
      <c r="P35" t="s">
        <v>27</v>
      </c>
      <c r="Q35" s="6" t="s">
        <v>27</v>
      </c>
      <c r="R35" s="6" t="s">
        <v>27</v>
      </c>
      <c r="S35" s="2"/>
      <c r="T35" t="s">
        <v>107</v>
      </c>
      <c r="U35" s="6">
        <v>2</v>
      </c>
      <c r="V35" s="13">
        <v>45098</v>
      </c>
      <c r="W35">
        <v>0</v>
      </c>
      <c r="X35">
        <v>0</v>
      </c>
      <c r="Y35">
        <v>0</v>
      </c>
      <c r="Z35" t="s">
        <v>27</v>
      </c>
      <c r="AA35" s="6" t="s">
        <v>27</v>
      </c>
      <c r="AB35" t="s">
        <v>27</v>
      </c>
      <c r="AD35" t="s">
        <v>107</v>
      </c>
      <c r="AE35" s="1">
        <v>3</v>
      </c>
      <c r="AF35" s="13">
        <v>45105</v>
      </c>
      <c r="AG35">
        <v>0</v>
      </c>
      <c r="AH35">
        <v>0</v>
      </c>
      <c r="AI35">
        <v>0</v>
      </c>
      <c r="AJ35" t="s">
        <v>27</v>
      </c>
      <c r="AK35" s="6" t="s">
        <v>27</v>
      </c>
      <c r="AL35" t="s">
        <v>27</v>
      </c>
      <c r="AN35" t="s">
        <v>107</v>
      </c>
      <c r="AO35" s="1">
        <v>4</v>
      </c>
      <c r="AP35" s="13">
        <v>45112</v>
      </c>
      <c r="AQ35">
        <v>0</v>
      </c>
      <c r="AR35">
        <v>0</v>
      </c>
      <c r="AS35">
        <v>0</v>
      </c>
      <c r="AT35" t="s">
        <v>45</v>
      </c>
      <c r="AU35" s="6" t="s">
        <v>33</v>
      </c>
      <c r="AV35" t="s">
        <v>45</v>
      </c>
      <c r="AX35" t="s">
        <v>107</v>
      </c>
      <c r="AY35" s="1">
        <v>5</v>
      </c>
      <c r="AZ35" s="13">
        <v>45119</v>
      </c>
      <c r="BA35">
        <v>0</v>
      </c>
      <c r="BB35">
        <v>0</v>
      </c>
      <c r="BC35">
        <v>0</v>
      </c>
      <c r="BD35" t="s">
        <v>27</v>
      </c>
      <c r="BE35" s="6" t="s">
        <v>27</v>
      </c>
      <c r="BF35" t="s">
        <v>27</v>
      </c>
      <c r="BH35" t="s">
        <v>107</v>
      </c>
      <c r="BI35" s="1">
        <v>6</v>
      </c>
      <c r="BJ35" s="13">
        <v>45126</v>
      </c>
      <c r="BK35">
        <v>0</v>
      </c>
      <c r="BL35">
        <v>0</v>
      </c>
      <c r="BM35">
        <v>0</v>
      </c>
      <c r="BN35" t="s">
        <v>27</v>
      </c>
      <c r="BO35" s="6" t="s">
        <v>27</v>
      </c>
      <c r="BP35" t="s">
        <v>27</v>
      </c>
      <c r="BR35" t="s">
        <v>107</v>
      </c>
      <c r="BS35" s="1">
        <v>7</v>
      </c>
      <c r="BT35" s="13">
        <v>45133</v>
      </c>
      <c r="BU35">
        <v>2</v>
      </c>
      <c r="BV35">
        <v>0</v>
      </c>
      <c r="BW35">
        <v>2</v>
      </c>
      <c r="BX35" s="51" t="s">
        <v>33</v>
      </c>
      <c r="BY35" s="51" t="s">
        <v>33</v>
      </c>
      <c r="BZ35" s="51" t="s">
        <v>27</v>
      </c>
      <c r="CC35" s="37" t="s">
        <v>107</v>
      </c>
      <c r="CD35" s="35">
        <f t="shared" si="0"/>
        <v>2</v>
      </c>
    </row>
    <row r="36" spans="1:82" ht="14.4" x14ac:dyDescent="0.3">
      <c r="A36" t="s">
        <v>108</v>
      </c>
      <c r="B36" t="s">
        <v>81</v>
      </c>
      <c r="C36">
        <v>32.470840000000003</v>
      </c>
      <c r="D36">
        <v>-83.573419999999999</v>
      </c>
      <c r="E36" s="117">
        <v>45079</v>
      </c>
      <c r="F36" s="13">
        <v>45084</v>
      </c>
      <c r="H36" s="1" t="s">
        <v>25</v>
      </c>
      <c r="I36" s="12" t="s">
        <v>26</v>
      </c>
      <c r="J36" t="s">
        <v>108</v>
      </c>
      <c r="K36" s="6">
        <v>1</v>
      </c>
      <c r="L36" s="13">
        <v>45091</v>
      </c>
      <c r="M36">
        <v>0</v>
      </c>
      <c r="N36">
        <v>0</v>
      </c>
      <c r="O36">
        <v>0</v>
      </c>
      <c r="P36" t="s">
        <v>27</v>
      </c>
      <c r="Q36" s="6" t="s">
        <v>27</v>
      </c>
      <c r="R36" s="6" t="s">
        <v>27</v>
      </c>
      <c r="S36" s="2"/>
      <c r="T36" t="s">
        <v>108</v>
      </c>
      <c r="U36" s="6">
        <v>2</v>
      </c>
      <c r="V36" s="13">
        <v>45098</v>
      </c>
      <c r="W36">
        <v>0</v>
      </c>
      <c r="X36">
        <v>0</v>
      </c>
      <c r="Y36">
        <v>0</v>
      </c>
      <c r="Z36" t="s">
        <v>27</v>
      </c>
      <c r="AA36" s="6" t="s">
        <v>27</v>
      </c>
      <c r="AB36" t="s">
        <v>27</v>
      </c>
      <c r="AD36" t="s">
        <v>108</v>
      </c>
      <c r="AE36" s="1">
        <v>3</v>
      </c>
      <c r="AF36" s="13">
        <v>45105</v>
      </c>
      <c r="AG36">
        <v>0</v>
      </c>
      <c r="AH36">
        <v>0</v>
      </c>
      <c r="AI36">
        <v>0</v>
      </c>
      <c r="AJ36" t="s">
        <v>27</v>
      </c>
      <c r="AK36" s="6" t="s">
        <v>27</v>
      </c>
      <c r="AL36" t="s">
        <v>27</v>
      </c>
      <c r="AN36" t="s">
        <v>108</v>
      </c>
      <c r="AO36" s="1">
        <v>4</v>
      </c>
      <c r="AP36" s="13">
        <v>45112</v>
      </c>
      <c r="AQ36">
        <v>0</v>
      </c>
      <c r="AR36">
        <v>0</v>
      </c>
      <c r="AS36">
        <v>0</v>
      </c>
      <c r="AT36" t="s">
        <v>27</v>
      </c>
      <c r="AU36" s="6" t="s">
        <v>27</v>
      </c>
      <c r="AV36" t="s">
        <v>27</v>
      </c>
      <c r="AX36" t="s">
        <v>108</v>
      </c>
      <c r="AY36" s="1">
        <v>5</v>
      </c>
      <c r="AZ36" s="13">
        <v>45119</v>
      </c>
      <c r="BA36">
        <v>0</v>
      </c>
      <c r="BB36">
        <v>0</v>
      </c>
      <c r="BC36">
        <v>0</v>
      </c>
      <c r="BD36" t="s">
        <v>27</v>
      </c>
      <c r="BE36" s="6" t="s">
        <v>27</v>
      </c>
      <c r="BF36" t="s">
        <v>27</v>
      </c>
      <c r="BH36" t="s">
        <v>108</v>
      </c>
      <c r="BI36" s="1">
        <v>6</v>
      </c>
      <c r="BJ36" s="13">
        <v>45126</v>
      </c>
      <c r="BK36">
        <v>0</v>
      </c>
      <c r="BL36">
        <v>0</v>
      </c>
      <c r="BM36">
        <v>0</v>
      </c>
      <c r="BN36" t="s">
        <v>27</v>
      </c>
      <c r="BO36" s="6" t="s">
        <v>27</v>
      </c>
      <c r="BP36" t="s">
        <v>27</v>
      </c>
      <c r="BR36" t="s">
        <v>108</v>
      </c>
      <c r="BS36" s="1">
        <v>7</v>
      </c>
      <c r="BT36" s="13">
        <v>45133</v>
      </c>
      <c r="BU36">
        <v>0</v>
      </c>
      <c r="BV36">
        <v>0</v>
      </c>
      <c r="BW36">
        <v>0</v>
      </c>
      <c r="BX36" s="51" t="s">
        <v>27</v>
      </c>
      <c r="BY36" s="51" t="s">
        <v>27</v>
      </c>
      <c r="BZ36" s="51" t="s">
        <v>27</v>
      </c>
      <c r="CC36" s="37" t="s">
        <v>108</v>
      </c>
      <c r="CD36" s="35">
        <f t="shared" si="0"/>
        <v>0</v>
      </c>
    </row>
    <row r="37" spans="1:82" ht="14.4" x14ac:dyDescent="0.3">
      <c r="A37" t="s">
        <v>109</v>
      </c>
      <c r="B37" t="s">
        <v>81</v>
      </c>
      <c r="C37">
        <v>32.469850000000001</v>
      </c>
      <c r="D37">
        <v>-83.555930000000004</v>
      </c>
      <c r="E37" s="13">
        <v>45069</v>
      </c>
      <c r="F37" s="13">
        <v>45083</v>
      </c>
      <c r="H37" s="1" t="s">
        <v>25</v>
      </c>
      <c r="I37" s="12" t="s">
        <v>26</v>
      </c>
      <c r="J37" t="s">
        <v>109</v>
      </c>
      <c r="K37" s="6">
        <v>1</v>
      </c>
      <c r="L37" s="13">
        <v>45090</v>
      </c>
      <c r="M37">
        <v>0</v>
      </c>
      <c r="N37">
        <v>0</v>
      </c>
      <c r="O37">
        <v>0</v>
      </c>
      <c r="P37" t="s">
        <v>27</v>
      </c>
      <c r="Q37" s="6" t="s">
        <v>27</v>
      </c>
      <c r="R37" s="6" t="s">
        <v>27</v>
      </c>
      <c r="S37" s="2"/>
      <c r="T37" t="s">
        <v>109</v>
      </c>
      <c r="U37" s="6">
        <v>2</v>
      </c>
      <c r="V37" s="13">
        <v>45097</v>
      </c>
      <c r="W37">
        <v>0</v>
      </c>
      <c r="X37">
        <v>0</v>
      </c>
      <c r="Y37">
        <v>0</v>
      </c>
      <c r="Z37" t="s">
        <v>27</v>
      </c>
      <c r="AA37" s="6" t="s">
        <v>27</v>
      </c>
      <c r="AB37" t="s">
        <v>27</v>
      </c>
      <c r="AD37" t="s">
        <v>109</v>
      </c>
      <c r="AE37" s="1">
        <v>3</v>
      </c>
      <c r="AF37" s="13">
        <v>45104</v>
      </c>
      <c r="AG37">
        <v>3</v>
      </c>
      <c r="AH37">
        <v>5</v>
      </c>
      <c r="AI37">
        <v>8</v>
      </c>
      <c r="AJ37" t="s">
        <v>33</v>
      </c>
      <c r="AK37" s="6" t="s">
        <v>33</v>
      </c>
      <c r="AL37" t="s">
        <v>27</v>
      </c>
      <c r="AN37" t="s">
        <v>109</v>
      </c>
      <c r="AO37" s="1">
        <v>4</v>
      </c>
      <c r="AP37" s="13">
        <v>45111</v>
      </c>
      <c r="AQ37">
        <v>0</v>
      </c>
      <c r="AR37">
        <v>0</v>
      </c>
      <c r="AS37">
        <v>0</v>
      </c>
      <c r="AT37" t="s">
        <v>27</v>
      </c>
      <c r="AU37" s="6" t="s">
        <v>27</v>
      </c>
      <c r="AV37" t="s">
        <v>27</v>
      </c>
      <c r="AX37" t="s">
        <v>109</v>
      </c>
      <c r="AY37" s="1">
        <v>5</v>
      </c>
      <c r="AZ37" s="13">
        <v>45118</v>
      </c>
      <c r="BA37">
        <v>0</v>
      </c>
      <c r="BB37">
        <v>0</v>
      </c>
      <c r="BC37">
        <v>0</v>
      </c>
      <c r="BD37" t="s">
        <v>27</v>
      </c>
      <c r="BE37" s="6" t="s">
        <v>27</v>
      </c>
      <c r="BF37" t="s">
        <v>27</v>
      </c>
      <c r="BH37" t="s">
        <v>109</v>
      </c>
      <c r="BI37" s="1">
        <v>6</v>
      </c>
      <c r="BJ37" s="13">
        <v>45125</v>
      </c>
      <c r="BK37">
        <v>0</v>
      </c>
      <c r="BL37">
        <v>3</v>
      </c>
      <c r="BM37">
        <v>3</v>
      </c>
      <c r="BN37" t="s">
        <v>33</v>
      </c>
      <c r="BO37" s="6" t="s">
        <v>33</v>
      </c>
      <c r="BP37" t="s">
        <v>27</v>
      </c>
      <c r="BQ37" s="2" t="s">
        <v>110</v>
      </c>
      <c r="BR37" t="s">
        <v>109</v>
      </c>
      <c r="BS37" s="1">
        <v>7</v>
      </c>
      <c r="BT37" s="13">
        <v>45132</v>
      </c>
      <c r="BU37">
        <v>0</v>
      </c>
      <c r="BV37">
        <v>0</v>
      </c>
      <c r="BW37">
        <v>0</v>
      </c>
      <c r="BX37" s="51" t="s">
        <v>45</v>
      </c>
      <c r="BY37" s="51" t="s">
        <v>33</v>
      </c>
      <c r="BZ37" s="51" t="s">
        <v>45</v>
      </c>
      <c r="CC37" s="37" t="s">
        <v>109</v>
      </c>
      <c r="CD37" s="35">
        <f t="shared" si="0"/>
        <v>11</v>
      </c>
    </row>
    <row r="38" spans="1:82" ht="14.4" x14ac:dyDescent="0.3">
      <c r="A38" t="s">
        <v>111</v>
      </c>
      <c r="B38" t="s">
        <v>81</v>
      </c>
      <c r="C38">
        <v>32.472729999999999</v>
      </c>
      <c r="D38">
        <v>-83.539410000000004</v>
      </c>
      <c r="E38" s="13">
        <v>45069</v>
      </c>
      <c r="F38" s="13">
        <v>45084</v>
      </c>
      <c r="H38" s="1" t="s">
        <v>25</v>
      </c>
      <c r="I38" s="12" t="s">
        <v>26</v>
      </c>
      <c r="J38" t="s">
        <v>111</v>
      </c>
      <c r="K38" s="6">
        <v>1</v>
      </c>
      <c r="L38" s="13">
        <v>45091</v>
      </c>
      <c r="M38">
        <v>0</v>
      </c>
      <c r="N38">
        <v>0</v>
      </c>
      <c r="O38">
        <v>0</v>
      </c>
      <c r="P38" t="s">
        <v>27</v>
      </c>
      <c r="Q38" s="6" t="s">
        <v>27</v>
      </c>
      <c r="R38" s="6" t="s">
        <v>27</v>
      </c>
      <c r="S38" s="2"/>
      <c r="T38" t="s">
        <v>111</v>
      </c>
      <c r="U38" s="6">
        <v>2</v>
      </c>
      <c r="V38" s="13">
        <v>45098</v>
      </c>
      <c r="W38">
        <v>0</v>
      </c>
      <c r="X38">
        <v>0</v>
      </c>
      <c r="Y38">
        <v>0</v>
      </c>
      <c r="Z38" t="s">
        <v>45</v>
      </c>
      <c r="AA38" s="6" t="s">
        <v>33</v>
      </c>
      <c r="AB38" t="s">
        <v>112</v>
      </c>
      <c r="AD38" t="s">
        <v>111</v>
      </c>
      <c r="AE38" s="1">
        <v>3</v>
      </c>
      <c r="AF38" s="13">
        <v>45105</v>
      </c>
      <c r="AG38">
        <v>0</v>
      </c>
      <c r="AH38">
        <v>0</v>
      </c>
      <c r="AI38">
        <v>0</v>
      </c>
      <c r="AJ38" t="s">
        <v>27</v>
      </c>
      <c r="AK38" s="6" t="s">
        <v>27</v>
      </c>
      <c r="AL38" t="s">
        <v>27</v>
      </c>
      <c r="AN38" t="s">
        <v>111</v>
      </c>
      <c r="AO38" s="1">
        <v>4</v>
      </c>
      <c r="AP38" s="13">
        <v>45112</v>
      </c>
      <c r="AQ38">
        <v>0</v>
      </c>
      <c r="AR38">
        <v>0</v>
      </c>
      <c r="AS38">
        <v>0</v>
      </c>
      <c r="AT38" t="s">
        <v>27</v>
      </c>
      <c r="AU38" s="6" t="s">
        <v>27</v>
      </c>
      <c r="AV38" t="s">
        <v>27</v>
      </c>
      <c r="AX38" t="s">
        <v>111</v>
      </c>
      <c r="AY38" s="1">
        <v>5</v>
      </c>
      <c r="AZ38" s="13">
        <v>45119</v>
      </c>
      <c r="BA38">
        <v>0</v>
      </c>
      <c r="BB38">
        <v>0</v>
      </c>
      <c r="BC38">
        <v>0</v>
      </c>
      <c r="BD38" t="s">
        <v>27</v>
      </c>
      <c r="BE38" s="6" t="s">
        <v>27</v>
      </c>
      <c r="BF38" t="s">
        <v>27</v>
      </c>
      <c r="BH38" t="s">
        <v>111</v>
      </c>
      <c r="BI38" s="1">
        <v>6</v>
      </c>
      <c r="BJ38" s="13">
        <v>45126</v>
      </c>
      <c r="BK38">
        <v>0</v>
      </c>
      <c r="BL38">
        <v>0</v>
      </c>
      <c r="BM38">
        <v>0</v>
      </c>
      <c r="BN38" t="s">
        <v>27</v>
      </c>
      <c r="BO38" s="6" t="s">
        <v>27</v>
      </c>
      <c r="BP38" t="s">
        <v>27</v>
      </c>
      <c r="BR38" t="s">
        <v>111</v>
      </c>
      <c r="BS38" s="1">
        <v>7</v>
      </c>
      <c r="BT38" s="13">
        <v>45133</v>
      </c>
      <c r="BU38">
        <v>2</v>
      </c>
      <c r="BV38">
        <v>2</v>
      </c>
      <c r="BW38">
        <v>4</v>
      </c>
      <c r="BX38" s="51" t="s">
        <v>33</v>
      </c>
      <c r="BY38" s="51" t="s">
        <v>33</v>
      </c>
      <c r="BZ38" s="51" t="s">
        <v>27</v>
      </c>
      <c r="CC38" s="37" t="s">
        <v>111</v>
      </c>
      <c r="CD38" s="35">
        <f t="shared" si="0"/>
        <v>4</v>
      </c>
    </row>
    <row r="39" spans="1:82" ht="14.4" x14ac:dyDescent="0.3">
      <c r="A39" t="s">
        <v>113</v>
      </c>
      <c r="B39" t="s">
        <v>81</v>
      </c>
      <c r="C39">
        <v>32.473959999999998</v>
      </c>
      <c r="D39">
        <v>-83.507760000000005</v>
      </c>
      <c r="E39" s="13">
        <v>45079</v>
      </c>
      <c r="F39" s="13">
        <v>45084</v>
      </c>
      <c r="H39" s="1" t="s">
        <v>25</v>
      </c>
      <c r="I39" s="12" t="s">
        <v>26</v>
      </c>
      <c r="J39" t="s">
        <v>113</v>
      </c>
      <c r="K39" s="6">
        <v>1</v>
      </c>
      <c r="L39" s="13">
        <v>45091</v>
      </c>
      <c r="M39">
        <v>0</v>
      </c>
      <c r="N39">
        <v>0</v>
      </c>
      <c r="O39">
        <v>0</v>
      </c>
      <c r="P39" t="s">
        <v>27</v>
      </c>
      <c r="Q39" s="6" t="s">
        <v>27</v>
      </c>
      <c r="R39" s="6" t="s">
        <v>27</v>
      </c>
      <c r="S39" s="2"/>
      <c r="T39" t="s">
        <v>113</v>
      </c>
      <c r="U39" s="6">
        <v>2</v>
      </c>
      <c r="V39" s="13">
        <v>45098</v>
      </c>
      <c r="W39">
        <v>0</v>
      </c>
      <c r="X39">
        <v>0</v>
      </c>
      <c r="Y39">
        <v>0</v>
      </c>
      <c r="Z39" t="s">
        <v>27</v>
      </c>
      <c r="AA39" s="6" t="s">
        <v>27</v>
      </c>
      <c r="AB39" t="s">
        <v>27</v>
      </c>
      <c r="AD39" t="s">
        <v>113</v>
      </c>
      <c r="AE39" s="1">
        <v>3</v>
      </c>
      <c r="AF39" s="13">
        <v>45105</v>
      </c>
      <c r="AG39">
        <v>0</v>
      </c>
      <c r="AH39">
        <v>0</v>
      </c>
      <c r="AI39">
        <v>0</v>
      </c>
      <c r="AJ39" t="s">
        <v>27</v>
      </c>
      <c r="AK39" s="6" t="s">
        <v>27</v>
      </c>
      <c r="AL39" t="s">
        <v>27</v>
      </c>
      <c r="AN39" t="s">
        <v>113</v>
      </c>
      <c r="AO39" s="1">
        <v>4</v>
      </c>
      <c r="AP39" s="13">
        <v>45112</v>
      </c>
      <c r="AQ39">
        <v>0</v>
      </c>
      <c r="AR39">
        <v>0</v>
      </c>
      <c r="AS39">
        <v>0</v>
      </c>
      <c r="AT39" t="s">
        <v>27</v>
      </c>
      <c r="AU39" s="6" t="s">
        <v>27</v>
      </c>
      <c r="AV39" t="s">
        <v>27</v>
      </c>
      <c r="AX39" t="s">
        <v>113</v>
      </c>
      <c r="AY39" s="1">
        <v>5</v>
      </c>
      <c r="AZ39" s="13">
        <v>45119</v>
      </c>
      <c r="BA39">
        <v>0</v>
      </c>
      <c r="BB39">
        <v>0</v>
      </c>
      <c r="BC39">
        <v>0</v>
      </c>
      <c r="BD39" t="s">
        <v>27</v>
      </c>
      <c r="BE39" s="6" t="s">
        <v>27</v>
      </c>
      <c r="BF39" t="s">
        <v>27</v>
      </c>
      <c r="BH39" t="s">
        <v>113</v>
      </c>
      <c r="BI39" s="1">
        <v>6</v>
      </c>
      <c r="BJ39" s="13">
        <v>45126</v>
      </c>
      <c r="BK39">
        <v>0</v>
      </c>
      <c r="BL39">
        <v>0</v>
      </c>
      <c r="BM39">
        <v>0</v>
      </c>
      <c r="BN39" t="s">
        <v>27</v>
      </c>
      <c r="BO39" s="6" t="s">
        <v>27</v>
      </c>
      <c r="BP39" t="s">
        <v>27</v>
      </c>
      <c r="BR39" t="s">
        <v>113</v>
      </c>
      <c r="BS39" s="1">
        <v>7</v>
      </c>
      <c r="BT39" s="13">
        <v>45133</v>
      </c>
      <c r="BU39">
        <v>1</v>
      </c>
      <c r="BV39">
        <v>1</v>
      </c>
      <c r="BW39">
        <v>2</v>
      </c>
      <c r="BX39" s="51" t="s">
        <v>33</v>
      </c>
      <c r="BY39" s="51" t="s">
        <v>33</v>
      </c>
      <c r="BZ39" s="51" t="s">
        <v>27</v>
      </c>
      <c r="CC39" s="37" t="s">
        <v>113</v>
      </c>
      <c r="CD39" s="35">
        <f t="shared" si="0"/>
        <v>2</v>
      </c>
    </row>
    <row r="40" spans="1:82" ht="14.4" x14ac:dyDescent="0.3">
      <c r="A40" t="s">
        <v>114</v>
      </c>
      <c r="B40" t="s">
        <v>81</v>
      </c>
      <c r="C40">
        <v>32.478870000000001</v>
      </c>
      <c r="D40">
        <v>-83.573430000000002</v>
      </c>
      <c r="E40" s="13">
        <v>45071</v>
      </c>
      <c r="F40" s="13">
        <v>45084</v>
      </c>
      <c r="H40" s="1" t="s">
        <v>25</v>
      </c>
      <c r="I40" s="12" t="s">
        <v>26</v>
      </c>
      <c r="J40" t="s">
        <v>114</v>
      </c>
      <c r="K40" s="6">
        <v>1</v>
      </c>
      <c r="L40" s="13">
        <v>45091</v>
      </c>
      <c r="M40">
        <v>0</v>
      </c>
      <c r="N40">
        <v>0</v>
      </c>
      <c r="O40">
        <v>0</v>
      </c>
      <c r="P40" t="s">
        <v>27</v>
      </c>
      <c r="Q40" s="6" t="s">
        <v>27</v>
      </c>
      <c r="R40" s="6" t="s">
        <v>27</v>
      </c>
      <c r="S40" s="2"/>
      <c r="T40" t="s">
        <v>114</v>
      </c>
      <c r="U40" s="6">
        <v>2</v>
      </c>
      <c r="V40" s="13">
        <v>45098</v>
      </c>
      <c r="W40">
        <v>0</v>
      </c>
      <c r="X40">
        <v>0</v>
      </c>
      <c r="Y40">
        <v>0</v>
      </c>
      <c r="Z40" t="s">
        <v>27</v>
      </c>
      <c r="AA40" s="6" t="s">
        <v>27</v>
      </c>
      <c r="AB40" t="s">
        <v>27</v>
      </c>
      <c r="AD40" t="s">
        <v>114</v>
      </c>
      <c r="AE40" s="1">
        <v>3</v>
      </c>
      <c r="AF40" s="13">
        <v>45105</v>
      </c>
      <c r="AG40">
        <v>0</v>
      </c>
      <c r="AH40">
        <v>0</v>
      </c>
      <c r="AI40">
        <v>0</v>
      </c>
      <c r="AJ40" t="s">
        <v>27</v>
      </c>
      <c r="AK40" s="6" t="s">
        <v>27</v>
      </c>
      <c r="AL40" t="s">
        <v>27</v>
      </c>
      <c r="AN40" t="s">
        <v>114</v>
      </c>
      <c r="AO40" s="1">
        <v>4</v>
      </c>
      <c r="AP40" s="13">
        <v>45112</v>
      </c>
      <c r="AQ40">
        <v>0</v>
      </c>
      <c r="AR40">
        <v>0</v>
      </c>
      <c r="AS40">
        <v>0</v>
      </c>
      <c r="AT40" t="s">
        <v>27</v>
      </c>
      <c r="AU40" s="6" t="s">
        <v>27</v>
      </c>
      <c r="AV40" t="s">
        <v>27</v>
      </c>
      <c r="AX40" t="s">
        <v>114</v>
      </c>
      <c r="AY40" s="1">
        <v>5</v>
      </c>
      <c r="AZ40" s="13">
        <v>45119</v>
      </c>
      <c r="BA40">
        <v>0</v>
      </c>
      <c r="BB40">
        <v>0</v>
      </c>
      <c r="BC40">
        <v>0</v>
      </c>
      <c r="BD40" t="s">
        <v>27</v>
      </c>
      <c r="BE40" s="6" t="s">
        <v>27</v>
      </c>
      <c r="BF40" t="s">
        <v>27</v>
      </c>
      <c r="BH40" t="s">
        <v>114</v>
      </c>
      <c r="BI40" s="1">
        <v>6</v>
      </c>
      <c r="BJ40" s="13">
        <v>45126</v>
      </c>
      <c r="BK40">
        <v>0</v>
      </c>
      <c r="BL40">
        <v>0</v>
      </c>
      <c r="BM40">
        <v>0</v>
      </c>
      <c r="BN40" t="s">
        <v>27</v>
      </c>
      <c r="BO40" s="6" t="s">
        <v>27</v>
      </c>
      <c r="BP40" t="s">
        <v>27</v>
      </c>
      <c r="BR40" t="s">
        <v>114</v>
      </c>
      <c r="BS40" s="1">
        <v>7</v>
      </c>
      <c r="BT40" s="13">
        <v>45133</v>
      </c>
      <c r="BU40">
        <v>0</v>
      </c>
      <c r="BV40">
        <v>0</v>
      </c>
      <c r="BW40">
        <v>0</v>
      </c>
      <c r="BX40" s="51" t="s">
        <v>27</v>
      </c>
      <c r="BY40" s="51" t="s">
        <v>27</v>
      </c>
      <c r="BZ40" s="51" t="s">
        <v>27</v>
      </c>
      <c r="CC40" s="37" t="s">
        <v>114</v>
      </c>
      <c r="CD40" s="35">
        <f t="shared" si="0"/>
        <v>0</v>
      </c>
    </row>
    <row r="41" spans="1:82" ht="14.4" x14ac:dyDescent="0.3">
      <c r="A41" t="s">
        <v>115</v>
      </c>
      <c r="B41" t="s">
        <v>81</v>
      </c>
      <c r="C41" s="21">
        <v>32.475000000000001</v>
      </c>
      <c r="D41">
        <v>-83.523349999999994</v>
      </c>
      <c r="E41" s="13">
        <v>45069</v>
      </c>
      <c r="F41" s="13">
        <v>45083</v>
      </c>
      <c r="H41" s="1" t="s">
        <v>25</v>
      </c>
      <c r="I41" s="12" t="s">
        <v>26</v>
      </c>
      <c r="J41" t="s">
        <v>115</v>
      </c>
      <c r="K41" s="6">
        <v>1</v>
      </c>
      <c r="L41" s="13">
        <v>45090</v>
      </c>
      <c r="M41">
        <v>0</v>
      </c>
      <c r="N41">
        <v>0</v>
      </c>
      <c r="O41">
        <v>0</v>
      </c>
      <c r="P41" t="s">
        <v>27</v>
      </c>
      <c r="Q41" s="6" t="s">
        <v>27</v>
      </c>
      <c r="R41" s="6" t="s">
        <v>27</v>
      </c>
      <c r="S41" s="2"/>
      <c r="T41" t="s">
        <v>115</v>
      </c>
      <c r="U41" s="6">
        <v>2</v>
      </c>
      <c r="V41" s="13">
        <v>45097</v>
      </c>
      <c r="W41">
        <v>0</v>
      </c>
      <c r="X41">
        <v>0</v>
      </c>
      <c r="Y41">
        <v>0</v>
      </c>
      <c r="Z41" t="s">
        <v>27</v>
      </c>
      <c r="AA41" s="6" t="s">
        <v>27</v>
      </c>
      <c r="AB41" t="s">
        <v>27</v>
      </c>
      <c r="AD41" t="s">
        <v>115</v>
      </c>
      <c r="AE41" s="1">
        <v>3</v>
      </c>
      <c r="AF41" s="13">
        <v>45104</v>
      </c>
      <c r="AG41">
        <v>0</v>
      </c>
      <c r="AH41">
        <v>0</v>
      </c>
      <c r="AI41">
        <v>0</v>
      </c>
      <c r="AJ41" t="s">
        <v>27</v>
      </c>
      <c r="AK41" s="6" t="s">
        <v>27</v>
      </c>
      <c r="AL41" t="s">
        <v>27</v>
      </c>
      <c r="AN41" t="s">
        <v>115</v>
      </c>
      <c r="AO41" s="1">
        <v>4</v>
      </c>
      <c r="AP41" s="13">
        <v>45111</v>
      </c>
      <c r="AQ41">
        <v>0</v>
      </c>
      <c r="AR41">
        <v>5</v>
      </c>
      <c r="AS41">
        <v>5</v>
      </c>
      <c r="AT41" t="s">
        <v>33</v>
      </c>
      <c r="AU41" s="6" t="s">
        <v>27</v>
      </c>
      <c r="AV41" t="s">
        <v>27</v>
      </c>
      <c r="AX41" t="s">
        <v>115</v>
      </c>
      <c r="AY41" s="1">
        <v>5</v>
      </c>
      <c r="AZ41" s="13">
        <v>45118</v>
      </c>
      <c r="BA41">
        <v>3</v>
      </c>
      <c r="BB41">
        <v>0</v>
      </c>
      <c r="BC41">
        <v>3</v>
      </c>
      <c r="BD41" t="s">
        <v>33</v>
      </c>
      <c r="BE41" s="6" t="s">
        <v>27</v>
      </c>
      <c r="BF41" t="s">
        <v>27</v>
      </c>
      <c r="BH41" t="s">
        <v>115</v>
      </c>
      <c r="BI41" s="1">
        <v>6</v>
      </c>
      <c r="BJ41" s="13">
        <v>45125</v>
      </c>
      <c r="BK41">
        <v>3</v>
      </c>
      <c r="BL41">
        <v>3</v>
      </c>
      <c r="BM41">
        <v>6</v>
      </c>
      <c r="BN41" t="s">
        <v>33</v>
      </c>
      <c r="BO41" s="6" t="s">
        <v>33</v>
      </c>
      <c r="BP41" t="s">
        <v>27</v>
      </c>
      <c r="BR41" t="s">
        <v>115</v>
      </c>
      <c r="BS41" s="1">
        <v>7</v>
      </c>
      <c r="BT41" s="13">
        <v>45132</v>
      </c>
      <c r="BU41">
        <v>0</v>
      </c>
      <c r="BV41">
        <v>1</v>
      </c>
      <c r="BW41">
        <v>1</v>
      </c>
      <c r="BX41" s="51" t="s">
        <v>33</v>
      </c>
      <c r="BY41" s="51" t="s">
        <v>33</v>
      </c>
      <c r="BZ41" s="51" t="s">
        <v>27</v>
      </c>
      <c r="CC41" s="37" t="s">
        <v>115</v>
      </c>
      <c r="CD41" s="35">
        <f t="shared" si="0"/>
        <v>15</v>
      </c>
    </row>
    <row r="42" spans="1:82" ht="14.4" x14ac:dyDescent="0.3">
      <c r="A42" t="s">
        <v>116</v>
      </c>
      <c r="B42" t="s">
        <v>81</v>
      </c>
      <c r="C42">
        <v>32.48639</v>
      </c>
      <c r="D42">
        <v>-83.574150000000003</v>
      </c>
      <c r="E42" s="13">
        <v>45065</v>
      </c>
      <c r="F42" s="13">
        <v>45085</v>
      </c>
      <c r="H42" s="1" t="s">
        <v>25</v>
      </c>
      <c r="I42" s="12" t="s">
        <v>26</v>
      </c>
      <c r="J42" t="s">
        <v>116</v>
      </c>
      <c r="K42" s="6">
        <v>1</v>
      </c>
      <c r="L42" s="13">
        <v>45092</v>
      </c>
      <c r="M42">
        <v>0</v>
      </c>
      <c r="N42">
        <v>0</v>
      </c>
      <c r="O42">
        <v>0</v>
      </c>
      <c r="P42" t="s">
        <v>27</v>
      </c>
      <c r="Q42" s="6" t="s">
        <v>27</v>
      </c>
      <c r="R42" s="6" t="s">
        <v>27</v>
      </c>
      <c r="S42" s="2"/>
      <c r="T42" t="s">
        <v>116</v>
      </c>
      <c r="U42" s="6">
        <v>2</v>
      </c>
      <c r="V42" s="13">
        <v>45099</v>
      </c>
      <c r="W42">
        <v>0</v>
      </c>
      <c r="X42">
        <v>0</v>
      </c>
      <c r="Y42">
        <v>0</v>
      </c>
      <c r="Z42" t="s">
        <v>27</v>
      </c>
      <c r="AA42" s="6" t="s">
        <v>27</v>
      </c>
      <c r="AB42" t="s">
        <v>27</v>
      </c>
      <c r="AD42" t="s">
        <v>116</v>
      </c>
      <c r="AE42" s="1">
        <v>3</v>
      </c>
      <c r="AF42" s="13">
        <v>45106</v>
      </c>
      <c r="AG42">
        <v>0</v>
      </c>
      <c r="AH42">
        <v>0</v>
      </c>
      <c r="AI42">
        <v>0</v>
      </c>
      <c r="AJ42" t="s">
        <v>27</v>
      </c>
      <c r="AK42" s="6" t="s">
        <v>27</v>
      </c>
      <c r="AL42" t="s">
        <v>27</v>
      </c>
      <c r="AN42" t="s">
        <v>116</v>
      </c>
      <c r="AO42" s="1">
        <v>4</v>
      </c>
      <c r="AP42" s="13">
        <v>45113</v>
      </c>
      <c r="AQ42">
        <v>0</v>
      </c>
      <c r="AR42">
        <v>0</v>
      </c>
      <c r="AS42">
        <v>0</v>
      </c>
      <c r="AT42" t="s">
        <v>45</v>
      </c>
      <c r="AU42" s="6" t="s">
        <v>33</v>
      </c>
      <c r="AV42" t="s">
        <v>45</v>
      </c>
      <c r="AX42" t="s">
        <v>116</v>
      </c>
      <c r="AY42" s="1">
        <v>5</v>
      </c>
      <c r="AZ42" s="13">
        <v>45120</v>
      </c>
      <c r="BA42">
        <v>0</v>
      </c>
      <c r="BB42">
        <v>0</v>
      </c>
      <c r="BC42">
        <v>0</v>
      </c>
      <c r="BD42" t="s">
        <v>45</v>
      </c>
      <c r="BE42" s="6" t="s">
        <v>33</v>
      </c>
      <c r="BF42" t="s">
        <v>45</v>
      </c>
      <c r="BH42" t="s">
        <v>116</v>
      </c>
      <c r="BI42" s="1">
        <v>6</v>
      </c>
      <c r="BJ42" s="13">
        <v>45125</v>
      </c>
      <c r="BK42">
        <v>0</v>
      </c>
      <c r="BL42">
        <v>0</v>
      </c>
      <c r="BM42">
        <v>0</v>
      </c>
      <c r="BN42" t="s">
        <v>27</v>
      </c>
      <c r="BO42" s="6" t="s">
        <v>27</v>
      </c>
      <c r="BP42" t="s">
        <v>27</v>
      </c>
      <c r="BR42" t="s">
        <v>116</v>
      </c>
      <c r="BS42" s="1">
        <v>7</v>
      </c>
      <c r="BT42" s="13">
        <v>45134</v>
      </c>
      <c r="BU42">
        <v>0</v>
      </c>
      <c r="BV42">
        <v>0</v>
      </c>
      <c r="BW42">
        <v>0</v>
      </c>
      <c r="BX42" s="51" t="s">
        <v>27</v>
      </c>
      <c r="BY42" s="51" t="s">
        <v>27</v>
      </c>
      <c r="BZ42" s="51" t="s">
        <v>27</v>
      </c>
      <c r="CC42" s="37" t="s">
        <v>116</v>
      </c>
      <c r="CD42" s="35">
        <f t="shared" si="0"/>
        <v>0</v>
      </c>
    </row>
    <row r="43" spans="1:82" ht="14.4" x14ac:dyDescent="0.3">
      <c r="A43" t="s">
        <v>117</v>
      </c>
      <c r="B43" t="s">
        <v>81</v>
      </c>
      <c r="C43">
        <v>32.487119999999997</v>
      </c>
      <c r="D43">
        <v>-83.559119999999993</v>
      </c>
      <c r="E43" s="13">
        <v>45065</v>
      </c>
      <c r="F43" s="13">
        <v>45085</v>
      </c>
      <c r="H43" s="1" t="s">
        <v>25</v>
      </c>
      <c r="I43" s="12" t="s">
        <v>26</v>
      </c>
      <c r="J43" t="s">
        <v>117</v>
      </c>
      <c r="K43" s="6">
        <v>1</v>
      </c>
      <c r="L43" s="13">
        <v>45092</v>
      </c>
      <c r="M43">
        <v>0</v>
      </c>
      <c r="N43">
        <v>0</v>
      </c>
      <c r="O43">
        <v>0</v>
      </c>
      <c r="P43" t="s">
        <v>27</v>
      </c>
      <c r="Q43" s="6" t="s">
        <v>27</v>
      </c>
      <c r="R43" s="6" t="s">
        <v>27</v>
      </c>
      <c r="S43" s="2"/>
      <c r="T43" t="s">
        <v>117</v>
      </c>
      <c r="U43" s="6">
        <v>2</v>
      </c>
      <c r="V43" s="13">
        <v>45099</v>
      </c>
      <c r="W43">
        <v>2</v>
      </c>
      <c r="X43">
        <v>3</v>
      </c>
      <c r="Y43">
        <v>5</v>
      </c>
      <c r="Z43" t="s">
        <v>33</v>
      </c>
      <c r="AA43" s="6" t="s">
        <v>33</v>
      </c>
      <c r="AB43" t="s">
        <v>27</v>
      </c>
      <c r="AD43" t="s">
        <v>117</v>
      </c>
      <c r="AE43" s="1">
        <v>3</v>
      </c>
      <c r="AF43" s="13">
        <v>45106</v>
      </c>
      <c r="AG43">
        <v>13</v>
      </c>
      <c r="AH43">
        <v>3</v>
      </c>
      <c r="AI43">
        <v>16</v>
      </c>
      <c r="AJ43" t="s">
        <v>33</v>
      </c>
      <c r="AK43" s="6" t="s">
        <v>33</v>
      </c>
      <c r="AL43" t="s">
        <v>27</v>
      </c>
      <c r="AN43" t="s">
        <v>117</v>
      </c>
      <c r="AO43" s="1">
        <v>4</v>
      </c>
      <c r="AP43" s="13">
        <v>45113</v>
      </c>
      <c r="AQ43">
        <v>11</v>
      </c>
      <c r="AR43">
        <v>10</v>
      </c>
      <c r="AS43">
        <v>21</v>
      </c>
      <c r="AT43" t="s">
        <v>33</v>
      </c>
      <c r="AU43" s="6" t="s">
        <v>33</v>
      </c>
      <c r="AV43" t="s">
        <v>27</v>
      </c>
      <c r="AX43" t="s">
        <v>117</v>
      </c>
      <c r="AY43" s="1">
        <v>5</v>
      </c>
      <c r="AZ43" s="13">
        <v>45120</v>
      </c>
      <c r="BA43">
        <v>6</v>
      </c>
      <c r="BB43">
        <v>2</v>
      </c>
      <c r="BC43">
        <v>8</v>
      </c>
      <c r="BD43" t="s">
        <v>33</v>
      </c>
      <c r="BE43" s="6" t="s">
        <v>33</v>
      </c>
      <c r="BF43" t="s">
        <v>27</v>
      </c>
      <c r="BH43" t="s">
        <v>117</v>
      </c>
      <c r="BI43" s="1">
        <v>6</v>
      </c>
      <c r="BJ43" s="13">
        <v>45127</v>
      </c>
      <c r="BK43">
        <v>5</v>
      </c>
      <c r="BL43">
        <v>7</v>
      </c>
      <c r="BM43">
        <v>12</v>
      </c>
      <c r="BN43" t="s">
        <v>33</v>
      </c>
      <c r="BO43" s="6" t="s">
        <v>33</v>
      </c>
      <c r="BP43" t="s">
        <v>27</v>
      </c>
      <c r="BR43" t="s">
        <v>117</v>
      </c>
      <c r="BS43" s="1">
        <v>7</v>
      </c>
      <c r="BT43" s="13">
        <v>45134</v>
      </c>
      <c r="BU43">
        <v>10</v>
      </c>
      <c r="BV43">
        <v>5</v>
      </c>
      <c r="BW43">
        <v>15</v>
      </c>
      <c r="BX43" s="51" t="s">
        <v>33</v>
      </c>
      <c r="BY43" s="51" t="s">
        <v>33</v>
      </c>
      <c r="BZ43" s="51" t="s">
        <v>27</v>
      </c>
      <c r="CC43" s="37" t="s">
        <v>117</v>
      </c>
      <c r="CD43" s="35">
        <f t="shared" si="0"/>
        <v>77</v>
      </c>
    </row>
    <row r="44" spans="1:82" ht="14.4" x14ac:dyDescent="0.3">
      <c r="A44" t="s">
        <v>118</v>
      </c>
      <c r="B44" t="s">
        <v>81</v>
      </c>
      <c r="C44">
        <v>32.488030000000002</v>
      </c>
      <c r="D44">
        <v>-83.549040000000005</v>
      </c>
      <c r="E44" s="116"/>
      <c r="F44" s="13">
        <v>45083</v>
      </c>
      <c r="H44" s="1" t="s">
        <v>25</v>
      </c>
      <c r="I44" s="12" t="s">
        <v>26</v>
      </c>
      <c r="J44" t="s">
        <v>118</v>
      </c>
      <c r="K44" s="6">
        <v>1</v>
      </c>
      <c r="L44" s="13">
        <v>45090</v>
      </c>
      <c r="M44">
        <v>0</v>
      </c>
      <c r="N44">
        <v>0</v>
      </c>
      <c r="O44">
        <v>0</v>
      </c>
      <c r="P44" t="s">
        <v>27</v>
      </c>
      <c r="Q44" s="6" t="s">
        <v>27</v>
      </c>
      <c r="R44" s="6" t="s">
        <v>27</v>
      </c>
      <c r="S44" s="2"/>
      <c r="T44" t="s">
        <v>118</v>
      </c>
      <c r="U44" s="6">
        <v>2</v>
      </c>
      <c r="V44" s="13">
        <v>45097</v>
      </c>
      <c r="W44">
        <v>0</v>
      </c>
      <c r="X44">
        <v>0</v>
      </c>
      <c r="Y44">
        <v>0</v>
      </c>
      <c r="Z44" t="s">
        <v>27</v>
      </c>
      <c r="AA44" s="6" t="s">
        <v>27</v>
      </c>
      <c r="AB44" t="s">
        <v>27</v>
      </c>
      <c r="AD44" t="s">
        <v>118</v>
      </c>
      <c r="AE44" s="1">
        <v>3</v>
      </c>
      <c r="AF44" s="13">
        <v>45104</v>
      </c>
      <c r="AG44">
        <v>0</v>
      </c>
      <c r="AH44">
        <v>0</v>
      </c>
      <c r="AI44">
        <v>0</v>
      </c>
      <c r="AJ44" t="s">
        <v>27</v>
      </c>
      <c r="AK44" s="6" t="s">
        <v>27</v>
      </c>
      <c r="AL44" t="s">
        <v>27</v>
      </c>
      <c r="AN44" t="s">
        <v>118</v>
      </c>
      <c r="AO44" s="1">
        <v>4</v>
      </c>
      <c r="AP44" s="13">
        <v>45111</v>
      </c>
      <c r="AQ44">
        <v>0</v>
      </c>
      <c r="AR44">
        <v>0</v>
      </c>
      <c r="AS44">
        <v>0</v>
      </c>
      <c r="AT44" t="s">
        <v>27</v>
      </c>
      <c r="AU44" s="6" t="s">
        <v>27</v>
      </c>
      <c r="AV44" t="s">
        <v>27</v>
      </c>
      <c r="AX44" t="s">
        <v>118</v>
      </c>
      <c r="AY44" s="1">
        <v>5</v>
      </c>
      <c r="AZ44" s="13">
        <v>45118</v>
      </c>
      <c r="BA44">
        <v>3</v>
      </c>
      <c r="BB44">
        <v>1</v>
      </c>
      <c r="BC44">
        <v>4</v>
      </c>
      <c r="BD44" t="s">
        <v>33</v>
      </c>
      <c r="BE44" s="6" t="s">
        <v>33</v>
      </c>
      <c r="BF44" t="s">
        <v>27</v>
      </c>
      <c r="BH44" t="s">
        <v>118</v>
      </c>
      <c r="BI44" s="1">
        <v>6</v>
      </c>
      <c r="BJ44" s="13">
        <v>45125</v>
      </c>
      <c r="BK44">
        <v>2</v>
      </c>
      <c r="BL44">
        <v>3</v>
      </c>
      <c r="BM44">
        <v>5</v>
      </c>
      <c r="BN44" t="s">
        <v>33</v>
      </c>
      <c r="BO44" s="6" t="s">
        <v>33</v>
      </c>
      <c r="BP44" t="s">
        <v>27</v>
      </c>
      <c r="BR44" s="53" t="s">
        <v>118</v>
      </c>
      <c r="BS44" s="54">
        <v>7</v>
      </c>
      <c r="BT44" s="55">
        <v>45132</v>
      </c>
      <c r="BU44" s="53">
        <v>0</v>
      </c>
      <c r="BV44" s="53">
        <v>1</v>
      </c>
      <c r="BW44" s="53">
        <v>1</v>
      </c>
      <c r="BX44" s="53" t="s">
        <v>33</v>
      </c>
      <c r="BY44" s="53" t="s">
        <v>33</v>
      </c>
      <c r="BZ44" s="53" t="s">
        <v>27</v>
      </c>
      <c r="CC44" s="37" t="s">
        <v>118</v>
      </c>
      <c r="CD44" s="35">
        <f t="shared" si="0"/>
        <v>10</v>
      </c>
    </row>
    <row r="45" spans="1:82" ht="14.4" x14ac:dyDescent="0.3">
      <c r="A45" t="s">
        <v>119</v>
      </c>
      <c r="B45" t="s">
        <v>81</v>
      </c>
      <c r="C45">
        <v>32.48715</v>
      </c>
      <c r="D45">
        <v>-83.510580000000004</v>
      </c>
      <c r="E45" s="116"/>
      <c r="F45" s="13">
        <v>45083</v>
      </c>
      <c r="H45" s="1" t="s">
        <v>25</v>
      </c>
      <c r="I45" s="12" t="s">
        <v>26</v>
      </c>
      <c r="J45" t="s">
        <v>119</v>
      </c>
      <c r="K45" s="6">
        <v>1</v>
      </c>
      <c r="L45" s="13">
        <v>45090</v>
      </c>
      <c r="M45">
        <v>1</v>
      </c>
      <c r="N45">
        <v>0</v>
      </c>
      <c r="O45">
        <v>1</v>
      </c>
      <c r="P45" t="s">
        <v>45</v>
      </c>
      <c r="Q45" s="6" t="s">
        <v>27</v>
      </c>
      <c r="R45" s="6" t="s">
        <v>27</v>
      </c>
      <c r="S45" s="2"/>
      <c r="T45" t="s">
        <v>119</v>
      </c>
      <c r="U45" s="6">
        <v>2</v>
      </c>
      <c r="V45" s="13">
        <v>45097</v>
      </c>
      <c r="W45">
        <v>0</v>
      </c>
      <c r="X45">
        <v>0</v>
      </c>
      <c r="Y45">
        <v>0</v>
      </c>
      <c r="Z45" t="s">
        <v>27</v>
      </c>
      <c r="AA45" s="6" t="s">
        <v>27</v>
      </c>
      <c r="AB45" t="s">
        <v>27</v>
      </c>
      <c r="AD45" t="s">
        <v>119</v>
      </c>
      <c r="AE45" s="1">
        <v>3</v>
      </c>
      <c r="AF45" s="13">
        <v>45104</v>
      </c>
      <c r="AG45">
        <v>17</v>
      </c>
      <c r="AH45">
        <v>12</v>
      </c>
      <c r="AI45">
        <v>29</v>
      </c>
      <c r="AJ45" t="s">
        <v>33</v>
      </c>
      <c r="AK45" s="6" t="s">
        <v>33</v>
      </c>
      <c r="AL45" t="s">
        <v>27</v>
      </c>
      <c r="AN45" t="s">
        <v>119</v>
      </c>
      <c r="AO45" s="1">
        <v>4</v>
      </c>
      <c r="AP45" s="13">
        <v>45111</v>
      </c>
      <c r="AQ45">
        <v>0</v>
      </c>
      <c r="AR45">
        <v>0</v>
      </c>
      <c r="AS45">
        <v>0</v>
      </c>
      <c r="AT45" t="s">
        <v>27</v>
      </c>
      <c r="AU45" s="6" t="s">
        <v>27</v>
      </c>
      <c r="AV45" t="s">
        <v>27</v>
      </c>
      <c r="AX45" t="s">
        <v>119</v>
      </c>
      <c r="AY45" s="1">
        <v>5</v>
      </c>
      <c r="AZ45" s="13">
        <v>45118</v>
      </c>
      <c r="BA45">
        <v>0</v>
      </c>
      <c r="BB45">
        <v>0</v>
      </c>
      <c r="BC45">
        <v>0</v>
      </c>
      <c r="BD45" t="s">
        <v>27</v>
      </c>
      <c r="BE45" s="6" t="s">
        <v>27</v>
      </c>
      <c r="BF45" t="s">
        <v>27</v>
      </c>
      <c r="BH45" t="s">
        <v>119</v>
      </c>
      <c r="BI45" s="1">
        <v>6</v>
      </c>
      <c r="BJ45" s="13">
        <v>45125</v>
      </c>
      <c r="BK45">
        <v>7</v>
      </c>
      <c r="BL45">
        <v>1</v>
      </c>
      <c r="BM45">
        <v>8</v>
      </c>
      <c r="BN45" t="s">
        <v>33</v>
      </c>
      <c r="BO45" s="6" t="s">
        <v>33</v>
      </c>
      <c r="BP45" t="s">
        <v>27</v>
      </c>
      <c r="BR45" t="s">
        <v>119</v>
      </c>
      <c r="BS45" s="1">
        <v>7</v>
      </c>
      <c r="BT45" s="13">
        <v>45132</v>
      </c>
      <c r="BU45">
        <v>3</v>
      </c>
      <c r="BV45">
        <v>0</v>
      </c>
      <c r="BW45">
        <v>3</v>
      </c>
      <c r="BX45" s="51" t="s">
        <v>33</v>
      </c>
      <c r="BY45" s="51" t="s">
        <v>33</v>
      </c>
      <c r="BZ45" s="51" t="s">
        <v>27</v>
      </c>
      <c r="CC45" s="37" t="s">
        <v>119</v>
      </c>
      <c r="CD45" s="35">
        <f t="shared" si="0"/>
        <v>41</v>
      </c>
    </row>
    <row r="46" spans="1:82" ht="14.4" x14ac:dyDescent="0.3">
      <c r="A46" t="s">
        <v>120</v>
      </c>
      <c r="B46" t="s">
        <v>81</v>
      </c>
      <c r="C46">
        <v>32.497819999999997</v>
      </c>
      <c r="D46">
        <v>-83.573670000000007</v>
      </c>
      <c r="E46" s="117">
        <v>45065</v>
      </c>
      <c r="F46" s="13">
        <v>45085</v>
      </c>
      <c r="H46" s="1" t="s">
        <v>25</v>
      </c>
      <c r="I46" s="12" t="s">
        <v>26</v>
      </c>
      <c r="J46" t="s">
        <v>120</v>
      </c>
      <c r="K46" s="6">
        <v>1</v>
      </c>
      <c r="L46" s="13">
        <v>45092</v>
      </c>
      <c r="M46">
        <v>0</v>
      </c>
      <c r="N46">
        <v>0</v>
      </c>
      <c r="O46">
        <v>0</v>
      </c>
      <c r="P46" t="s">
        <v>27</v>
      </c>
      <c r="Q46" s="6" t="s">
        <v>27</v>
      </c>
      <c r="R46" s="6" t="s">
        <v>27</v>
      </c>
      <c r="S46" s="2"/>
      <c r="T46" t="s">
        <v>120</v>
      </c>
      <c r="U46" s="6">
        <v>2</v>
      </c>
      <c r="V46" s="13">
        <v>45099</v>
      </c>
      <c r="W46">
        <v>0</v>
      </c>
      <c r="X46">
        <v>0</v>
      </c>
      <c r="Y46">
        <v>0</v>
      </c>
      <c r="Z46" t="s">
        <v>27</v>
      </c>
      <c r="AA46" s="6" t="s">
        <v>27</v>
      </c>
      <c r="AB46" t="s">
        <v>27</v>
      </c>
      <c r="AD46" t="s">
        <v>120</v>
      </c>
      <c r="AE46" s="1">
        <v>3</v>
      </c>
      <c r="AF46" s="13">
        <v>45106</v>
      </c>
      <c r="AG46">
        <v>1</v>
      </c>
      <c r="AH46">
        <v>0</v>
      </c>
      <c r="AI46">
        <v>1</v>
      </c>
      <c r="AJ46" t="s">
        <v>33</v>
      </c>
      <c r="AK46" s="6" t="s">
        <v>27</v>
      </c>
      <c r="AL46" t="s">
        <v>27</v>
      </c>
      <c r="AN46" t="s">
        <v>120</v>
      </c>
      <c r="AO46" s="1">
        <v>4</v>
      </c>
      <c r="AP46" s="13">
        <v>45113</v>
      </c>
      <c r="AQ46">
        <v>0</v>
      </c>
      <c r="AR46">
        <v>0</v>
      </c>
      <c r="AS46">
        <v>0</v>
      </c>
      <c r="AT46" t="s">
        <v>45</v>
      </c>
      <c r="AU46" s="6" t="s">
        <v>33</v>
      </c>
      <c r="AV46" t="s">
        <v>45</v>
      </c>
      <c r="AX46" t="s">
        <v>120</v>
      </c>
      <c r="AY46" s="1">
        <v>5</v>
      </c>
      <c r="AZ46" s="13">
        <v>45120</v>
      </c>
      <c r="BA46">
        <v>0</v>
      </c>
      <c r="BB46">
        <v>0</v>
      </c>
      <c r="BC46">
        <v>0</v>
      </c>
      <c r="BD46" t="s">
        <v>27</v>
      </c>
      <c r="BE46" s="6" t="s">
        <v>27</v>
      </c>
      <c r="BF46" t="s">
        <v>27</v>
      </c>
      <c r="BH46" t="s">
        <v>120</v>
      </c>
      <c r="BI46" s="1">
        <v>6</v>
      </c>
      <c r="BJ46" s="13">
        <v>45127</v>
      </c>
      <c r="BK46">
        <v>0</v>
      </c>
      <c r="BL46">
        <v>0</v>
      </c>
      <c r="BM46">
        <v>0</v>
      </c>
      <c r="BN46" t="s">
        <v>45</v>
      </c>
      <c r="BO46" s="6" t="s">
        <v>33</v>
      </c>
      <c r="BP46" t="s">
        <v>45</v>
      </c>
      <c r="BR46" t="s">
        <v>120</v>
      </c>
      <c r="BS46" s="1">
        <v>7</v>
      </c>
      <c r="BT46" s="13">
        <v>45134</v>
      </c>
      <c r="BU46">
        <v>7</v>
      </c>
      <c r="BV46">
        <v>4</v>
      </c>
      <c r="BW46">
        <v>11</v>
      </c>
      <c r="BX46" s="51" t="s">
        <v>33</v>
      </c>
      <c r="BY46" s="51" t="s">
        <v>33</v>
      </c>
      <c r="BZ46" s="51" t="s">
        <v>27</v>
      </c>
      <c r="CC46" s="37" t="s">
        <v>120</v>
      </c>
      <c r="CD46" s="35">
        <f t="shared" si="0"/>
        <v>12</v>
      </c>
    </row>
    <row r="47" spans="1:82" ht="14.4" x14ac:dyDescent="0.3">
      <c r="A47" t="s">
        <v>121</v>
      </c>
      <c r="B47" t="s">
        <v>81</v>
      </c>
      <c r="C47">
        <v>32.500790000000002</v>
      </c>
      <c r="D47">
        <v>-83.565439999999995</v>
      </c>
      <c r="E47" s="117">
        <v>45065</v>
      </c>
      <c r="F47" s="13">
        <v>45085</v>
      </c>
      <c r="H47" s="1" t="s">
        <v>25</v>
      </c>
      <c r="I47" s="12" t="s">
        <v>26</v>
      </c>
      <c r="J47" t="s">
        <v>121</v>
      </c>
      <c r="K47" s="6">
        <v>1</v>
      </c>
      <c r="L47" s="13">
        <v>45092</v>
      </c>
      <c r="M47">
        <v>0</v>
      </c>
      <c r="N47">
        <v>0</v>
      </c>
      <c r="O47">
        <v>0</v>
      </c>
      <c r="P47" t="s">
        <v>27</v>
      </c>
      <c r="Q47" s="6" t="s">
        <v>27</v>
      </c>
      <c r="R47" s="6" t="s">
        <v>27</v>
      </c>
      <c r="S47" s="2"/>
      <c r="T47" t="s">
        <v>121</v>
      </c>
      <c r="U47" s="6">
        <v>2</v>
      </c>
      <c r="V47" s="13">
        <v>45099</v>
      </c>
      <c r="W47">
        <v>0</v>
      </c>
      <c r="X47">
        <v>0</v>
      </c>
      <c r="Y47">
        <v>0</v>
      </c>
      <c r="Z47" t="s">
        <v>27</v>
      </c>
      <c r="AA47" s="6" t="s">
        <v>27</v>
      </c>
      <c r="AB47" t="s">
        <v>27</v>
      </c>
      <c r="AD47" t="s">
        <v>121</v>
      </c>
      <c r="AE47" s="1">
        <v>3</v>
      </c>
      <c r="AF47" s="13">
        <v>45106</v>
      </c>
      <c r="AG47">
        <v>0</v>
      </c>
      <c r="AH47">
        <v>0</v>
      </c>
      <c r="AI47">
        <v>0</v>
      </c>
      <c r="AJ47" t="s">
        <v>27</v>
      </c>
      <c r="AK47" s="6" t="s">
        <v>27</v>
      </c>
      <c r="AL47" t="s">
        <v>27</v>
      </c>
      <c r="AN47" t="s">
        <v>121</v>
      </c>
      <c r="AO47" s="1">
        <v>4</v>
      </c>
      <c r="AP47" s="13">
        <v>45113</v>
      </c>
      <c r="AQ47">
        <v>8</v>
      </c>
      <c r="AR47">
        <v>4</v>
      </c>
      <c r="AS47">
        <v>12</v>
      </c>
      <c r="AT47" t="s">
        <v>33</v>
      </c>
      <c r="AU47" s="6" t="s">
        <v>33</v>
      </c>
      <c r="AV47" t="s">
        <v>27</v>
      </c>
      <c r="AX47" t="s">
        <v>121</v>
      </c>
      <c r="AY47" s="1">
        <v>5</v>
      </c>
      <c r="AZ47" s="13">
        <v>45120</v>
      </c>
      <c r="BA47">
        <v>0</v>
      </c>
      <c r="BB47">
        <v>0</v>
      </c>
      <c r="BC47">
        <v>0</v>
      </c>
      <c r="BD47" t="s">
        <v>27</v>
      </c>
      <c r="BE47" s="6" t="s">
        <v>27</v>
      </c>
      <c r="BF47" t="s">
        <v>27</v>
      </c>
      <c r="BH47" t="s">
        <v>121</v>
      </c>
      <c r="BI47" s="1">
        <v>6</v>
      </c>
      <c r="BJ47" s="13">
        <v>45127</v>
      </c>
      <c r="BK47">
        <v>7</v>
      </c>
      <c r="BL47">
        <v>1</v>
      </c>
      <c r="BM47">
        <v>8</v>
      </c>
      <c r="BN47" t="s">
        <v>33</v>
      </c>
      <c r="BO47" s="6" t="s">
        <v>33</v>
      </c>
      <c r="BP47" t="s">
        <v>27</v>
      </c>
      <c r="BR47" t="s">
        <v>121</v>
      </c>
      <c r="BS47" s="1">
        <v>7</v>
      </c>
      <c r="BT47" s="13">
        <v>45134</v>
      </c>
      <c r="BU47">
        <v>0</v>
      </c>
      <c r="BV47">
        <v>0</v>
      </c>
      <c r="BW47">
        <v>0</v>
      </c>
      <c r="BX47" s="51" t="s">
        <v>27</v>
      </c>
      <c r="BY47" s="51" t="s">
        <v>27</v>
      </c>
      <c r="BZ47" s="51" t="s">
        <v>27</v>
      </c>
      <c r="CC47" s="37" t="s">
        <v>121</v>
      </c>
      <c r="CD47" s="35">
        <f t="shared" si="0"/>
        <v>20</v>
      </c>
    </row>
    <row r="48" spans="1:82" ht="14.4" x14ac:dyDescent="0.3">
      <c r="A48" t="s">
        <v>122</v>
      </c>
      <c r="B48" t="s">
        <v>81</v>
      </c>
      <c r="C48" s="21">
        <v>32.496400000000001</v>
      </c>
      <c r="D48">
        <v>-83.556129999999996</v>
      </c>
      <c r="E48" s="116"/>
      <c r="F48" s="13">
        <v>45085</v>
      </c>
      <c r="H48" s="1" t="s">
        <v>25</v>
      </c>
      <c r="I48" s="12" t="s">
        <v>26</v>
      </c>
      <c r="J48" t="s">
        <v>122</v>
      </c>
      <c r="K48" s="6">
        <v>1</v>
      </c>
      <c r="L48" s="13">
        <v>45092</v>
      </c>
      <c r="M48">
        <v>0</v>
      </c>
      <c r="N48">
        <v>0</v>
      </c>
      <c r="O48">
        <v>0</v>
      </c>
      <c r="P48" t="s">
        <v>27</v>
      </c>
      <c r="Q48" s="6" t="s">
        <v>27</v>
      </c>
      <c r="R48" s="6" t="s">
        <v>27</v>
      </c>
      <c r="S48" s="2"/>
      <c r="T48" t="s">
        <v>122</v>
      </c>
      <c r="U48" s="6">
        <v>2</v>
      </c>
      <c r="V48" s="13">
        <v>45099</v>
      </c>
      <c r="W48">
        <v>3</v>
      </c>
      <c r="X48">
        <v>0</v>
      </c>
      <c r="Y48">
        <v>0</v>
      </c>
      <c r="Z48" t="s">
        <v>33</v>
      </c>
      <c r="AA48" s="6" t="s">
        <v>33</v>
      </c>
      <c r="AB48" t="s">
        <v>27</v>
      </c>
      <c r="AD48" t="s">
        <v>122</v>
      </c>
      <c r="AE48" s="1">
        <v>3</v>
      </c>
      <c r="AF48" s="13">
        <v>45106</v>
      </c>
      <c r="AG48">
        <v>0</v>
      </c>
      <c r="AH48">
        <v>0</v>
      </c>
      <c r="AI48">
        <v>0</v>
      </c>
      <c r="AJ48" t="s">
        <v>27</v>
      </c>
      <c r="AK48" s="6" t="s">
        <v>27</v>
      </c>
      <c r="AL48" t="s">
        <v>27</v>
      </c>
      <c r="AN48" t="s">
        <v>122</v>
      </c>
      <c r="AO48" s="1">
        <v>4</v>
      </c>
      <c r="AP48" s="13">
        <v>45113</v>
      </c>
      <c r="AQ48">
        <v>3</v>
      </c>
      <c r="AR48">
        <v>2</v>
      </c>
      <c r="AS48">
        <v>5</v>
      </c>
      <c r="AT48" t="s">
        <v>33</v>
      </c>
      <c r="AU48" s="6" t="s">
        <v>33</v>
      </c>
      <c r="AV48" t="s">
        <v>27</v>
      </c>
      <c r="AX48" t="s">
        <v>122</v>
      </c>
      <c r="AY48" s="1">
        <v>5</v>
      </c>
      <c r="AZ48" s="13">
        <v>45120</v>
      </c>
      <c r="BA48">
        <v>0</v>
      </c>
      <c r="BB48">
        <v>3</v>
      </c>
      <c r="BC48">
        <v>3</v>
      </c>
      <c r="BD48" t="s">
        <v>33</v>
      </c>
      <c r="BE48" s="6" t="s">
        <v>33</v>
      </c>
      <c r="BF48" t="s">
        <v>27</v>
      </c>
      <c r="BH48" t="s">
        <v>122</v>
      </c>
      <c r="BI48" s="1">
        <v>6</v>
      </c>
      <c r="BJ48" s="13">
        <v>45127</v>
      </c>
      <c r="BK48">
        <v>1</v>
      </c>
      <c r="BL48">
        <v>0</v>
      </c>
      <c r="BM48">
        <v>1</v>
      </c>
      <c r="BN48" t="s">
        <v>33</v>
      </c>
      <c r="BO48" s="6" t="s">
        <v>33</v>
      </c>
      <c r="BP48" t="s">
        <v>27</v>
      </c>
      <c r="BR48" t="s">
        <v>122</v>
      </c>
      <c r="BS48" s="1">
        <v>7</v>
      </c>
      <c r="BT48" s="13">
        <v>45134</v>
      </c>
      <c r="BU48">
        <v>0</v>
      </c>
      <c r="BV48">
        <v>0</v>
      </c>
      <c r="BW48">
        <v>0</v>
      </c>
      <c r="BX48" s="51" t="s">
        <v>27</v>
      </c>
      <c r="BY48" s="51" t="s">
        <v>27</v>
      </c>
      <c r="BZ48" s="51" t="s">
        <v>27</v>
      </c>
      <c r="CC48" s="37" t="s">
        <v>122</v>
      </c>
      <c r="CD48" s="35">
        <f t="shared" si="0"/>
        <v>9</v>
      </c>
    </row>
    <row r="49" spans="1:82" ht="14.4" x14ac:dyDescent="0.3">
      <c r="A49" t="s">
        <v>123</v>
      </c>
      <c r="B49" t="s">
        <v>81</v>
      </c>
      <c r="C49">
        <v>32.502029999999998</v>
      </c>
      <c r="D49">
        <v>-83.541060000000002</v>
      </c>
      <c r="E49" s="117">
        <v>45065</v>
      </c>
      <c r="F49" s="13">
        <v>45085</v>
      </c>
      <c r="H49" s="1" t="s">
        <v>25</v>
      </c>
      <c r="I49" s="12" t="s">
        <v>26</v>
      </c>
      <c r="J49" t="s">
        <v>123</v>
      </c>
      <c r="K49" s="6">
        <v>1</v>
      </c>
      <c r="L49" s="13">
        <v>45092</v>
      </c>
      <c r="M49">
        <v>0</v>
      </c>
      <c r="N49">
        <v>0</v>
      </c>
      <c r="O49">
        <v>0</v>
      </c>
      <c r="P49" t="s">
        <v>27</v>
      </c>
      <c r="Q49" s="6" t="s">
        <v>27</v>
      </c>
      <c r="R49" s="6" t="s">
        <v>27</v>
      </c>
      <c r="S49" s="2"/>
      <c r="T49" t="s">
        <v>123</v>
      </c>
      <c r="U49" s="6">
        <v>2</v>
      </c>
      <c r="V49" s="13">
        <v>45099</v>
      </c>
      <c r="W49">
        <v>0</v>
      </c>
      <c r="X49">
        <v>1</v>
      </c>
      <c r="Y49">
        <v>1</v>
      </c>
      <c r="Z49" t="s">
        <v>33</v>
      </c>
      <c r="AA49" s="6" t="s">
        <v>33</v>
      </c>
      <c r="AB49" t="s">
        <v>27</v>
      </c>
      <c r="AD49" t="s">
        <v>123</v>
      </c>
      <c r="AE49" s="1">
        <v>3</v>
      </c>
      <c r="AF49" s="13">
        <v>45106</v>
      </c>
      <c r="AG49">
        <v>0</v>
      </c>
      <c r="AH49">
        <v>0</v>
      </c>
      <c r="AI49">
        <v>0</v>
      </c>
      <c r="AJ49" t="s">
        <v>27</v>
      </c>
      <c r="AK49" s="6" t="s">
        <v>27</v>
      </c>
      <c r="AL49" t="s">
        <v>27</v>
      </c>
      <c r="AN49" t="s">
        <v>123</v>
      </c>
      <c r="AO49" s="1">
        <v>4</v>
      </c>
      <c r="AP49" s="13">
        <v>45113</v>
      </c>
      <c r="AQ49">
        <v>0</v>
      </c>
      <c r="AR49">
        <v>0</v>
      </c>
      <c r="AS49">
        <v>0</v>
      </c>
      <c r="AT49" t="s">
        <v>45</v>
      </c>
      <c r="AU49" s="6" t="s">
        <v>33</v>
      </c>
      <c r="AV49" t="s">
        <v>45</v>
      </c>
      <c r="AX49" t="s">
        <v>123</v>
      </c>
      <c r="AY49" s="1">
        <v>5</v>
      </c>
      <c r="AZ49" s="13">
        <v>45120</v>
      </c>
      <c r="BA49">
        <v>1</v>
      </c>
      <c r="BB49">
        <v>0</v>
      </c>
      <c r="BC49">
        <v>1</v>
      </c>
      <c r="BD49" t="s">
        <v>33</v>
      </c>
      <c r="BE49" s="6" t="s">
        <v>33</v>
      </c>
      <c r="BF49" t="s">
        <v>27</v>
      </c>
      <c r="BH49" t="s">
        <v>123</v>
      </c>
      <c r="BI49" s="1">
        <v>6</v>
      </c>
      <c r="BJ49" s="13">
        <v>45127</v>
      </c>
      <c r="BK49">
        <v>0</v>
      </c>
      <c r="BL49">
        <v>0</v>
      </c>
      <c r="BM49">
        <v>0</v>
      </c>
      <c r="BN49" t="s">
        <v>45</v>
      </c>
      <c r="BO49" s="6" t="s">
        <v>33</v>
      </c>
      <c r="BP49" t="s">
        <v>45</v>
      </c>
      <c r="BR49" t="s">
        <v>123</v>
      </c>
      <c r="BS49" s="1">
        <v>7</v>
      </c>
      <c r="BT49" s="13">
        <v>45134</v>
      </c>
      <c r="BU49">
        <v>0</v>
      </c>
      <c r="BV49">
        <v>0</v>
      </c>
      <c r="BW49">
        <v>0</v>
      </c>
      <c r="BX49" s="51" t="s">
        <v>27</v>
      </c>
      <c r="BY49" s="51" t="s">
        <v>27</v>
      </c>
      <c r="BZ49" s="51" t="s">
        <v>27</v>
      </c>
      <c r="CC49" s="37" t="s">
        <v>123</v>
      </c>
      <c r="CD49" s="35">
        <f t="shared" si="0"/>
        <v>2</v>
      </c>
    </row>
    <row r="50" spans="1:82" ht="14.4" x14ac:dyDescent="0.3">
      <c r="A50" t="s">
        <v>124</v>
      </c>
      <c r="B50" t="s">
        <v>81</v>
      </c>
      <c r="C50">
        <v>32.497030000000002</v>
      </c>
      <c r="D50">
        <v>-83.524770000000004</v>
      </c>
      <c r="E50" s="116"/>
      <c r="F50" s="13">
        <v>45083</v>
      </c>
      <c r="H50" s="1" t="s">
        <v>25</v>
      </c>
      <c r="I50" s="12" t="s">
        <v>26</v>
      </c>
      <c r="J50" t="s">
        <v>124</v>
      </c>
      <c r="K50" s="6">
        <v>1</v>
      </c>
      <c r="L50" s="13">
        <v>45090</v>
      </c>
      <c r="M50">
        <v>0</v>
      </c>
      <c r="N50">
        <v>0</v>
      </c>
      <c r="O50">
        <v>0</v>
      </c>
      <c r="P50" t="s">
        <v>27</v>
      </c>
      <c r="Q50" s="6" t="s">
        <v>27</v>
      </c>
      <c r="R50" s="6" t="s">
        <v>27</v>
      </c>
      <c r="S50" s="2"/>
      <c r="T50" t="s">
        <v>124</v>
      </c>
      <c r="U50" s="6">
        <v>2</v>
      </c>
      <c r="V50" s="13">
        <v>45097</v>
      </c>
      <c r="W50">
        <v>0</v>
      </c>
      <c r="X50">
        <v>0</v>
      </c>
      <c r="Y50">
        <v>0</v>
      </c>
      <c r="Z50" t="s">
        <v>27</v>
      </c>
      <c r="AA50" s="6" t="s">
        <v>27</v>
      </c>
      <c r="AB50" t="s">
        <v>27</v>
      </c>
      <c r="AD50" t="s">
        <v>124</v>
      </c>
      <c r="AE50" s="1">
        <v>3</v>
      </c>
      <c r="AF50" s="13">
        <v>45104</v>
      </c>
      <c r="AG50">
        <v>0</v>
      </c>
      <c r="AH50">
        <v>3</v>
      </c>
      <c r="AI50">
        <v>3</v>
      </c>
      <c r="AJ50" t="s">
        <v>33</v>
      </c>
      <c r="AK50" s="6" t="s">
        <v>27</v>
      </c>
      <c r="AL50" t="s">
        <v>27</v>
      </c>
      <c r="AN50" t="s">
        <v>124</v>
      </c>
      <c r="AO50" s="1">
        <v>4</v>
      </c>
      <c r="AP50" s="13">
        <v>45111</v>
      </c>
      <c r="AQ50">
        <v>0</v>
      </c>
      <c r="AR50">
        <v>0</v>
      </c>
      <c r="AS50">
        <v>0</v>
      </c>
      <c r="AT50" t="s">
        <v>27</v>
      </c>
      <c r="AU50" s="6" t="s">
        <v>27</v>
      </c>
      <c r="AV50" t="s">
        <v>27</v>
      </c>
      <c r="AX50" t="s">
        <v>124</v>
      </c>
      <c r="AY50" s="1">
        <v>5</v>
      </c>
      <c r="AZ50" s="13">
        <v>45118</v>
      </c>
      <c r="BA50">
        <v>6</v>
      </c>
      <c r="BB50">
        <v>0</v>
      </c>
      <c r="BC50">
        <v>6</v>
      </c>
      <c r="BD50" t="s">
        <v>33</v>
      </c>
      <c r="BE50" s="6" t="s">
        <v>33</v>
      </c>
      <c r="BF50" t="s">
        <v>27</v>
      </c>
      <c r="BH50" t="s">
        <v>124</v>
      </c>
      <c r="BI50" s="1">
        <v>6</v>
      </c>
      <c r="BJ50" s="13">
        <v>45125</v>
      </c>
      <c r="BK50">
        <v>0</v>
      </c>
      <c r="BL50">
        <v>0</v>
      </c>
      <c r="BM50">
        <v>0</v>
      </c>
      <c r="BN50" t="s">
        <v>27</v>
      </c>
      <c r="BO50" s="6" t="s">
        <v>27</v>
      </c>
      <c r="BP50" t="s">
        <v>27</v>
      </c>
      <c r="BR50" t="s">
        <v>124</v>
      </c>
      <c r="BS50" s="1">
        <v>7</v>
      </c>
      <c r="BT50" s="13">
        <v>45132</v>
      </c>
      <c r="BU50">
        <v>4</v>
      </c>
      <c r="BV50">
        <v>2</v>
      </c>
      <c r="BW50">
        <v>6</v>
      </c>
      <c r="BX50" s="51" t="s">
        <v>33</v>
      </c>
      <c r="BY50" s="51" t="s">
        <v>33</v>
      </c>
      <c r="BZ50" s="51" t="s">
        <v>27</v>
      </c>
      <c r="CC50" s="37" t="s">
        <v>124</v>
      </c>
      <c r="CD50" s="35">
        <f t="shared" si="0"/>
        <v>15</v>
      </c>
    </row>
    <row r="51" spans="1:82" ht="14.4" x14ac:dyDescent="0.3">
      <c r="A51" t="s">
        <v>125</v>
      </c>
      <c r="B51" t="s">
        <v>81</v>
      </c>
      <c r="C51">
        <v>32.50752</v>
      </c>
      <c r="D51">
        <v>-83.556280000000001</v>
      </c>
      <c r="E51" s="117">
        <v>45065</v>
      </c>
      <c r="F51" s="13">
        <v>45085</v>
      </c>
      <c r="H51" s="1" t="s">
        <v>25</v>
      </c>
      <c r="I51" s="12" t="s">
        <v>26</v>
      </c>
      <c r="J51" t="s">
        <v>125</v>
      </c>
      <c r="K51" s="6">
        <v>1</v>
      </c>
      <c r="L51" s="13">
        <v>45092</v>
      </c>
      <c r="M51">
        <v>1</v>
      </c>
      <c r="N51">
        <v>0</v>
      </c>
      <c r="O51">
        <v>1</v>
      </c>
      <c r="P51" t="s">
        <v>45</v>
      </c>
      <c r="Q51" s="6" t="s">
        <v>33</v>
      </c>
      <c r="R51" s="6" t="s">
        <v>45</v>
      </c>
      <c r="S51" s="2"/>
      <c r="T51" t="s">
        <v>125</v>
      </c>
      <c r="U51" s="6">
        <v>2</v>
      </c>
      <c r="V51" s="13">
        <v>45099</v>
      </c>
      <c r="W51">
        <v>0</v>
      </c>
      <c r="X51">
        <v>0</v>
      </c>
      <c r="Y51">
        <v>0</v>
      </c>
      <c r="Z51" t="s">
        <v>27</v>
      </c>
      <c r="AA51" s="6" t="s">
        <v>27</v>
      </c>
      <c r="AB51" t="s">
        <v>27</v>
      </c>
      <c r="AD51" t="s">
        <v>125</v>
      </c>
      <c r="AE51" s="1">
        <v>3</v>
      </c>
      <c r="AF51" s="13">
        <v>45106</v>
      </c>
      <c r="AG51">
        <v>0</v>
      </c>
      <c r="AH51">
        <v>0</v>
      </c>
      <c r="AI51">
        <v>0</v>
      </c>
      <c r="AJ51" t="s">
        <v>27</v>
      </c>
      <c r="AK51" s="6" t="s">
        <v>27</v>
      </c>
      <c r="AL51" t="s">
        <v>27</v>
      </c>
      <c r="AN51" t="s">
        <v>125</v>
      </c>
      <c r="AO51" s="1">
        <v>4</v>
      </c>
      <c r="AP51" s="13">
        <v>45113</v>
      </c>
      <c r="AQ51">
        <v>0</v>
      </c>
      <c r="AR51">
        <v>0</v>
      </c>
      <c r="AS51">
        <v>0</v>
      </c>
      <c r="AT51" t="s">
        <v>45</v>
      </c>
      <c r="AU51" s="6" t="s">
        <v>33</v>
      </c>
      <c r="AV51" t="s">
        <v>45</v>
      </c>
      <c r="AX51" t="s">
        <v>125</v>
      </c>
      <c r="AY51" s="1">
        <v>5</v>
      </c>
      <c r="AZ51" s="13">
        <v>45119</v>
      </c>
      <c r="BA51">
        <v>1</v>
      </c>
      <c r="BB51">
        <v>0</v>
      </c>
      <c r="BC51">
        <v>1</v>
      </c>
      <c r="BD51" t="s">
        <v>33</v>
      </c>
      <c r="BE51" s="6" t="s">
        <v>33</v>
      </c>
      <c r="BF51" t="s">
        <v>27</v>
      </c>
      <c r="BH51" t="s">
        <v>125</v>
      </c>
      <c r="BI51" s="1">
        <v>6</v>
      </c>
      <c r="BJ51" s="13">
        <v>45127</v>
      </c>
      <c r="BK51">
        <v>2</v>
      </c>
      <c r="BL51">
        <v>1</v>
      </c>
      <c r="BM51">
        <v>3</v>
      </c>
      <c r="BN51" t="s">
        <v>33</v>
      </c>
      <c r="BO51" s="6" t="s">
        <v>33</v>
      </c>
      <c r="BP51" t="s">
        <v>27</v>
      </c>
      <c r="BR51" t="s">
        <v>125</v>
      </c>
      <c r="BS51" s="1">
        <v>7</v>
      </c>
      <c r="BT51" s="13">
        <v>45134</v>
      </c>
      <c r="BU51">
        <v>2</v>
      </c>
      <c r="BV51">
        <v>0</v>
      </c>
      <c r="BW51">
        <v>2</v>
      </c>
      <c r="BX51" s="51" t="s">
        <v>33</v>
      </c>
      <c r="BY51" s="51" t="s">
        <v>33</v>
      </c>
      <c r="BZ51" s="51" t="s">
        <v>27</v>
      </c>
      <c r="CC51" s="37" t="s">
        <v>125</v>
      </c>
      <c r="CD51" s="35">
        <f t="shared" si="0"/>
        <v>7</v>
      </c>
    </row>
    <row r="52" spans="1:82" ht="14.4" x14ac:dyDescent="0.3">
      <c r="A52" t="s">
        <v>126</v>
      </c>
      <c r="B52" t="s">
        <v>81</v>
      </c>
      <c r="C52">
        <v>32.507910000000003</v>
      </c>
      <c r="D52">
        <v>-83.547210000000007</v>
      </c>
      <c r="E52" s="117">
        <v>45065</v>
      </c>
      <c r="F52" s="13">
        <v>45085</v>
      </c>
      <c r="H52" s="1" t="s">
        <v>25</v>
      </c>
      <c r="I52" s="12" t="s">
        <v>26</v>
      </c>
      <c r="J52" t="s">
        <v>126</v>
      </c>
      <c r="K52" s="6">
        <v>1</v>
      </c>
      <c r="L52" s="13">
        <v>45092</v>
      </c>
      <c r="M52">
        <v>0</v>
      </c>
      <c r="N52">
        <v>0</v>
      </c>
      <c r="O52">
        <v>0</v>
      </c>
      <c r="P52" t="s">
        <v>27</v>
      </c>
      <c r="Q52" s="6" t="s">
        <v>27</v>
      </c>
      <c r="R52" s="6" t="s">
        <v>27</v>
      </c>
      <c r="S52" s="2"/>
      <c r="T52" t="s">
        <v>126</v>
      </c>
      <c r="U52" s="6">
        <v>2</v>
      </c>
      <c r="V52" s="13">
        <v>45099</v>
      </c>
      <c r="W52">
        <v>0</v>
      </c>
      <c r="X52">
        <v>0</v>
      </c>
      <c r="Y52">
        <v>0</v>
      </c>
      <c r="Z52" t="s">
        <v>27</v>
      </c>
      <c r="AA52" s="6" t="s">
        <v>27</v>
      </c>
      <c r="AB52" t="s">
        <v>27</v>
      </c>
      <c r="AD52" t="s">
        <v>126</v>
      </c>
      <c r="AE52" s="1">
        <v>3</v>
      </c>
      <c r="AF52" s="13">
        <v>45106</v>
      </c>
      <c r="AG52">
        <v>2</v>
      </c>
      <c r="AH52">
        <v>6</v>
      </c>
      <c r="AI52">
        <v>8</v>
      </c>
      <c r="AJ52" t="s">
        <v>33</v>
      </c>
      <c r="AK52" s="6" t="s">
        <v>33</v>
      </c>
      <c r="AL52" t="s">
        <v>27</v>
      </c>
      <c r="AN52" t="s">
        <v>126</v>
      </c>
      <c r="AO52" s="1">
        <v>4</v>
      </c>
      <c r="AP52" s="13">
        <v>45113</v>
      </c>
      <c r="AQ52">
        <v>8</v>
      </c>
      <c r="AR52">
        <v>6</v>
      </c>
      <c r="AS52">
        <v>14</v>
      </c>
      <c r="AT52" t="s">
        <v>33</v>
      </c>
      <c r="AU52" s="6" t="s">
        <v>33</v>
      </c>
      <c r="AV52" t="s">
        <v>27</v>
      </c>
      <c r="AX52" t="s">
        <v>126</v>
      </c>
      <c r="AY52" s="1">
        <v>5</v>
      </c>
      <c r="AZ52" s="13">
        <v>45120</v>
      </c>
      <c r="BA52">
        <v>7</v>
      </c>
      <c r="BB52">
        <v>1</v>
      </c>
      <c r="BC52">
        <v>8</v>
      </c>
      <c r="BD52" t="s">
        <v>33</v>
      </c>
      <c r="BE52" s="6" t="s">
        <v>33</v>
      </c>
      <c r="BF52" t="s">
        <v>27</v>
      </c>
      <c r="BH52" t="s">
        <v>126</v>
      </c>
      <c r="BI52" s="1">
        <v>6</v>
      </c>
      <c r="BJ52" s="13">
        <v>45127</v>
      </c>
      <c r="BK52">
        <v>3</v>
      </c>
      <c r="BL52">
        <v>2</v>
      </c>
      <c r="BM52">
        <v>5</v>
      </c>
      <c r="BN52" t="s">
        <v>33</v>
      </c>
      <c r="BO52" s="6" t="s">
        <v>33</v>
      </c>
      <c r="BP52" t="s">
        <v>27</v>
      </c>
      <c r="BR52" t="s">
        <v>126</v>
      </c>
      <c r="BS52" s="1">
        <v>7</v>
      </c>
      <c r="BT52" s="13">
        <v>45134</v>
      </c>
      <c r="BU52">
        <v>2</v>
      </c>
      <c r="BV52">
        <v>3</v>
      </c>
      <c r="BW52">
        <v>5</v>
      </c>
      <c r="BX52" s="51" t="s">
        <v>33</v>
      </c>
      <c r="BY52" s="51" t="s">
        <v>33</v>
      </c>
      <c r="BZ52" s="51" t="s">
        <v>27</v>
      </c>
      <c r="CC52" s="37" t="s">
        <v>126</v>
      </c>
      <c r="CD52" s="35">
        <f t="shared" si="0"/>
        <v>40</v>
      </c>
    </row>
    <row r="53" spans="1:82" ht="14.4" x14ac:dyDescent="0.3">
      <c r="A53" t="s">
        <v>127</v>
      </c>
      <c r="B53" t="s">
        <v>84</v>
      </c>
      <c r="C53">
        <v>32.342469999999999</v>
      </c>
      <c r="D53">
        <v>-83.495819999999995</v>
      </c>
      <c r="E53" s="116"/>
      <c r="F53" s="13">
        <v>45083</v>
      </c>
      <c r="H53" s="1" t="s">
        <v>25</v>
      </c>
      <c r="I53" s="12" t="s">
        <v>26</v>
      </c>
      <c r="J53" t="s">
        <v>127</v>
      </c>
      <c r="K53" s="6">
        <v>1</v>
      </c>
      <c r="L53" s="13">
        <v>45090</v>
      </c>
      <c r="M53">
        <v>0</v>
      </c>
      <c r="N53">
        <v>0</v>
      </c>
      <c r="O53">
        <v>0</v>
      </c>
      <c r="P53" t="s">
        <v>27</v>
      </c>
      <c r="Q53" s="6" t="s">
        <v>27</v>
      </c>
      <c r="R53" s="6" t="s">
        <v>27</v>
      </c>
      <c r="S53" s="2"/>
      <c r="T53" t="s">
        <v>127</v>
      </c>
      <c r="U53" s="6">
        <v>2</v>
      </c>
      <c r="V53" s="13">
        <v>45097</v>
      </c>
      <c r="W53">
        <v>0</v>
      </c>
      <c r="X53">
        <v>0</v>
      </c>
      <c r="Y53">
        <v>0</v>
      </c>
      <c r="Z53" t="s">
        <v>27</v>
      </c>
      <c r="AA53" s="6" t="s">
        <v>27</v>
      </c>
      <c r="AB53" t="s">
        <v>27</v>
      </c>
      <c r="AD53" t="s">
        <v>127</v>
      </c>
      <c r="AE53" s="1">
        <v>3</v>
      </c>
      <c r="AF53" s="13">
        <v>45104</v>
      </c>
      <c r="AG53">
        <v>0</v>
      </c>
      <c r="AH53">
        <v>0</v>
      </c>
      <c r="AI53">
        <v>0</v>
      </c>
      <c r="AJ53" t="s">
        <v>27</v>
      </c>
      <c r="AK53" s="6" t="s">
        <v>27</v>
      </c>
      <c r="AL53" t="s">
        <v>27</v>
      </c>
      <c r="AN53" t="s">
        <v>127</v>
      </c>
      <c r="AO53" s="1">
        <v>4</v>
      </c>
      <c r="AP53" s="13">
        <v>45111</v>
      </c>
      <c r="AQ53">
        <v>0</v>
      </c>
      <c r="AR53">
        <v>0</v>
      </c>
      <c r="AS53">
        <v>0</v>
      </c>
      <c r="AT53" t="s">
        <v>27</v>
      </c>
      <c r="AU53" s="6" t="s">
        <v>27</v>
      </c>
      <c r="AV53" t="s">
        <v>27</v>
      </c>
      <c r="AX53" t="s">
        <v>127</v>
      </c>
      <c r="AY53" s="1">
        <v>5</v>
      </c>
      <c r="AZ53" s="13">
        <v>45118</v>
      </c>
      <c r="BA53">
        <v>0</v>
      </c>
      <c r="BB53">
        <v>0</v>
      </c>
      <c r="BC53">
        <v>0</v>
      </c>
      <c r="BD53" t="s">
        <v>27</v>
      </c>
      <c r="BE53" s="6" t="s">
        <v>27</v>
      </c>
      <c r="BF53" t="s">
        <v>27</v>
      </c>
      <c r="BH53" t="s">
        <v>127</v>
      </c>
      <c r="BI53" s="1">
        <v>6</v>
      </c>
      <c r="BJ53" s="13">
        <v>45125</v>
      </c>
      <c r="BK53">
        <v>0</v>
      </c>
      <c r="BL53">
        <v>0</v>
      </c>
      <c r="BM53">
        <v>0</v>
      </c>
      <c r="BN53" t="s">
        <v>27</v>
      </c>
      <c r="BO53" s="6" t="s">
        <v>27</v>
      </c>
      <c r="BP53" t="s">
        <v>27</v>
      </c>
      <c r="BR53" t="s">
        <v>127</v>
      </c>
      <c r="BS53" s="1">
        <v>7</v>
      </c>
      <c r="BT53" s="13">
        <v>45132</v>
      </c>
      <c r="BU53">
        <v>0</v>
      </c>
      <c r="BV53">
        <v>0</v>
      </c>
      <c r="BW53">
        <v>0</v>
      </c>
      <c r="BX53" s="51" t="s">
        <v>27</v>
      </c>
      <c r="BY53" s="51" t="s">
        <v>27</v>
      </c>
      <c r="BZ53" s="51" t="s">
        <v>27</v>
      </c>
      <c r="CC53" s="37" t="s">
        <v>127</v>
      </c>
      <c r="CD53" s="35">
        <f t="shared" si="0"/>
        <v>0</v>
      </c>
    </row>
    <row r="54" spans="1:82" ht="14.4" x14ac:dyDescent="0.3">
      <c r="A54" t="s">
        <v>128</v>
      </c>
      <c r="B54" t="s">
        <v>84</v>
      </c>
      <c r="C54">
        <v>32.343220000000002</v>
      </c>
      <c r="D54">
        <v>-83.482550000000003</v>
      </c>
      <c r="E54" s="117">
        <v>45076</v>
      </c>
      <c r="F54" s="13">
        <v>45083</v>
      </c>
      <c r="H54" s="1" t="s">
        <v>25</v>
      </c>
      <c r="I54" s="12" t="s">
        <v>26</v>
      </c>
      <c r="J54" t="s">
        <v>128</v>
      </c>
      <c r="K54" s="6">
        <v>1</v>
      </c>
      <c r="L54" s="13">
        <v>45090</v>
      </c>
      <c r="M54">
        <v>0</v>
      </c>
      <c r="N54">
        <v>0</v>
      </c>
      <c r="O54">
        <v>0</v>
      </c>
      <c r="P54" t="s">
        <v>27</v>
      </c>
      <c r="Q54" s="6" t="s">
        <v>27</v>
      </c>
      <c r="R54" s="6" t="s">
        <v>27</v>
      </c>
      <c r="S54" s="2"/>
      <c r="T54" t="s">
        <v>128</v>
      </c>
      <c r="U54" s="6">
        <v>2</v>
      </c>
      <c r="V54" s="13">
        <v>45097</v>
      </c>
      <c r="W54">
        <v>0</v>
      </c>
      <c r="X54">
        <v>0</v>
      </c>
      <c r="Y54">
        <v>0</v>
      </c>
      <c r="Z54" t="s">
        <v>27</v>
      </c>
      <c r="AA54" s="6" t="s">
        <v>27</v>
      </c>
      <c r="AB54" t="s">
        <v>27</v>
      </c>
      <c r="AD54" t="s">
        <v>128</v>
      </c>
      <c r="AE54" s="1">
        <v>3</v>
      </c>
      <c r="AF54" s="13">
        <v>45104</v>
      </c>
      <c r="AG54">
        <v>2</v>
      </c>
      <c r="AH54">
        <v>0</v>
      </c>
      <c r="AI54">
        <v>2</v>
      </c>
      <c r="AJ54" t="s">
        <v>33</v>
      </c>
      <c r="AK54" s="6" t="s">
        <v>27</v>
      </c>
      <c r="AL54" t="s">
        <v>27</v>
      </c>
      <c r="AN54" t="s">
        <v>128</v>
      </c>
      <c r="AO54" s="1">
        <v>4</v>
      </c>
      <c r="AP54" s="13">
        <v>45111</v>
      </c>
      <c r="AQ54">
        <v>0</v>
      </c>
      <c r="AR54">
        <v>0</v>
      </c>
      <c r="AS54">
        <v>0</v>
      </c>
      <c r="AT54" t="s">
        <v>27</v>
      </c>
      <c r="AU54" s="6" t="s">
        <v>27</v>
      </c>
      <c r="AV54" t="s">
        <v>27</v>
      </c>
      <c r="AX54" t="s">
        <v>128</v>
      </c>
      <c r="AY54" s="1">
        <v>5</v>
      </c>
      <c r="AZ54" s="13">
        <v>45118</v>
      </c>
      <c r="BA54">
        <v>0</v>
      </c>
      <c r="BB54">
        <v>0</v>
      </c>
      <c r="BC54">
        <v>0</v>
      </c>
      <c r="BD54" t="s">
        <v>27</v>
      </c>
      <c r="BE54" s="6" t="s">
        <v>27</v>
      </c>
      <c r="BF54" t="s">
        <v>27</v>
      </c>
      <c r="BH54" t="s">
        <v>128</v>
      </c>
      <c r="BI54" s="1">
        <v>6</v>
      </c>
      <c r="BJ54" s="13">
        <v>45125</v>
      </c>
      <c r="BK54">
        <v>0</v>
      </c>
      <c r="BL54">
        <v>0</v>
      </c>
      <c r="BM54">
        <v>0</v>
      </c>
      <c r="BN54" t="s">
        <v>27</v>
      </c>
      <c r="BO54" s="6" t="s">
        <v>27</v>
      </c>
      <c r="BP54" t="s">
        <v>27</v>
      </c>
      <c r="BR54" t="s">
        <v>128</v>
      </c>
      <c r="BS54" s="1">
        <v>7</v>
      </c>
      <c r="BT54" s="13">
        <v>45132</v>
      </c>
      <c r="BU54">
        <v>0</v>
      </c>
      <c r="BV54">
        <v>0</v>
      </c>
      <c r="BW54">
        <v>0</v>
      </c>
      <c r="BX54" s="51" t="s">
        <v>27</v>
      </c>
      <c r="BY54" s="51" t="s">
        <v>27</v>
      </c>
      <c r="BZ54" s="51" t="s">
        <v>27</v>
      </c>
      <c r="CC54" s="37" t="s">
        <v>128</v>
      </c>
      <c r="CD54" s="35">
        <f t="shared" si="0"/>
        <v>2</v>
      </c>
    </row>
    <row r="55" spans="1:82" ht="14.4" x14ac:dyDescent="0.3">
      <c r="A55" t="s">
        <v>129</v>
      </c>
      <c r="B55" t="s">
        <v>84</v>
      </c>
      <c r="C55">
        <v>32.344839999999998</v>
      </c>
      <c r="D55">
        <v>-83.470110000000005</v>
      </c>
      <c r="E55" s="117">
        <v>45076</v>
      </c>
      <c r="F55" s="13">
        <v>45083</v>
      </c>
      <c r="H55" s="1" t="s">
        <v>25</v>
      </c>
      <c r="I55" s="12" t="s">
        <v>26</v>
      </c>
      <c r="J55" t="s">
        <v>129</v>
      </c>
      <c r="K55" s="6">
        <v>1</v>
      </c>
      <c r="L55" s="13">
        <v>45090</v>
      </c>
      <c r="M55">
        <v>0</v>
      </c>
      <c r="N55">
        <v>0</v>
      </c>
      <c r="O55">
        <v>0</v>
      </c>
      <c r="P55" t="s">
        <v>27</v>
      </c>
      <c r="Q55" s="6" t="s">
        <v>27</v>
      </c>
      <c r="R55" s="6" t="s">
        <v>27</v>
      </c>
      <c r="S55" s="2"/>
      <c r="T55" t="s">
        <v>129</v>
      </c>
      <c r="U55" s="6">
        <v>2</v>
      </c>
      <c r="V55" s="13">
        <v>45097</v>
      </c>
      <c r="W55">
        <v>0</v>
      </c>
      <c r="X55">
        <v>0</v>
      </c>
      <c r="Y55">
        <v>0</v>
      </c>
      <c r="Z55" t="s">
        <v>27</v>
      </c>
      <c r="AA55" s="6" t="s">
        <v>27</v>
      </c>
      <c r="AB55" t="s">
        <v>27</v>
      </c>
      <c r="AD55" t="s">
        <v>129</v>
      </c>
      <c r="AE55" s="1">
        <v>3</v>
      </c>
      <c r="AF55" s="13">
        <v>45104</v>
      </c>
      <c r="AG55">
        <v>0</v>
      </c>
      <c r="AH55">
        <v>0</v>
      </c>
      <c r="AI55">
        <v>0</v>
      </c>
      <c r="AJ55" t="s">
        <v>27</v>
      </c>
      <c r="AK55" s="6" t="s">
        <v>27</v>
      </c>
      <c r="AL55" t="s">
        <v>27</v>
      </c>
      <c r="AN55" t="s">
        <v>129</v>
      </c>
      <c r="AO55" s="1">
        <v>4</v>
      </c>
      <c r="AP55" s="13">
        <v>45111</v>
      </c>
      <c r="AQ55">
        <v>0</v>
      </c>
      <c r="AR55">
        <v>0</v>
      </c>
      <c r="AS55">
        <v>0</v>
      </c>
      <c r="AT55" t="s">
        <v>27</v>
      </c>
      <c r="AU55" s="6" t="s">
        <v>27</v>
      </c>
      <c r="AV55" t="s">
        <v>27</v>
      </c>
      <c r="AX55" t="s">
        <v>129</v>
      </c>
      <c r="AY55" s="1">
        <v>5</v>
      </c>
      <c r="AZ55" s="13">
        <v>45118</v>
      </c>
      <c r="BA55">
        <v>0</v>
      </c>
      <c r="BB55">
        <v>0</v>
      </c>
      <c r="BC55">
        <v>0</v>
      </c>
      <c r="BD55" t="s">
        <v>27</v>
      </c>
      <c r="BE55" s="6" t="s">
        <v>27</v>
      </c>
      <c r="BF55" t="s">
        <v>27</v>
      </c>
      <c r="BH55" t="s">
        <v>129</v>
      </c>
      <c r="BI55" s="1">
        <v>6</v>
      </c>
      <c r="BJ55" s="13">
        <v>45125</v>
      </c>
      <c r="BK55">
        <v>0</v>
      </c>
      <c r="BL55">
        <v>0</v>
      </c>
      <c r="BM55">
        <v>0</v>
      </c>
      <c r="BN55" t="s">
        <v>27</v>
      </c>
      <c r="BO55" s="6" t="s">
        <v>27</v>
      </c>
      <c r="BP55" t="s">
        <v>27</v>
      </c>
      <c r="BR55" t="s">
        <v>129</v>
      </c>
      <c r="BS55" s="1">
        <v>7</v>
      </c>
      <c r="BT55" s="13">
        <v>45132</v>
      </c>
      <c r="BU55">
        <v>0</v>
      </c>
      <c r="BV55">
        <v>0</v>
      </c>
      <c r="BW55">
        <v>0</v>
      </c>
      <c r="BX55" s="51" t="s">
        <v>27</v>
      </c>
      <c r="BY55" s="51" t="s">
        <v>27</v>
      </c>
      <c r="BZ55" s="51" t="s">
        <v>27</v>
      </c>
      <c r="CC55" s="37" t="s">
        <v>129</v>
      </c>
      <c r="CD55" s="35">
        <f t="shared" si="0"/>
        <v>0</v>
      </c>
    </row>
    <row r="56" spans="1:82" ht="14.4" x14ac:dyDescent="0.3">
      <c r="A56" t="s">
        <v>130</v>
      </c>
      <c r="B56" t="s">
        <v>84</v>
      </c>
      <c r="C56">
        <v>32.351860000000002</v>
      </c>
      <c r="D56">
        <v>-83.486689999999996</v>
      </c>
      <c r="E56" s="117">
        <v>45076</v>
      </c>
      <c r="F56" s="13">
        <v>45083</v>
      </c>
      <c r="H56" s="1" t="s">
        <v>25</v>
      </c>
      <c r="I56" s="12" t="s">
        <v>26</v>
      </c>
      <c r="J56" t="s">
        <v>130</v>
      </c>
      <c r="K56" s="6">
        <v>1</v>
      </c>
      <c r="L56" s="13">
        <v>45090</v>
      </c>
      <c r="M56">
        <v>0</v>
      </c>
      <c r="N56">
        <v>0</v>
      </c>
      <c r="O56">
        <v>0</v>
      </c>
      <c r="P56" t="s">
        <v>27</v>
      </c>
      <c r="Q56" s="6" t="s">
        <v>27</v>
      </c>
      <c r="R56" s="6" t="s">
        <v>27</v>
      </c>
      <c r="S56" s="2"/>
      <c r="T56" t="s">
        <v>130</v>
      </c>
      <c r="U56" s="6">
        <v>2</v>
      </c>
      <c r="V56" s="13">
        <v>45097</v>
      </c>
      <c r="W56">
        <v>0</v>
      </c>
      <c r="X56">
        <v>0</v>
      </c>
      <c r="Y56">
        <v>0</v>
      </c>
      <c r="Z56" t="s">
        <v>27</v>
      </c>
      <c r="AA56" s="6" t="s">
        <v>27</v>
      </c>
      <c r="AB56" t="s">
        <v>27</v>
      </c>
      <c r="AD56" t="s">
        <v>130</v>
      </c>
      <c r="AE56" s="1">
        <v>3</v>
      </c>
      <c r="AF56" s="13">
        <v>45104</v>
      </c>
      <c r="AG56">
        <v>0</v>
      </c>
      <c r="AH56">
        <v>0</v>
      </c>
      <c r="AI56">
        <v>0</v>
      </c>
      <c r="AJ56" t="s">
        <v>27</v>
      </c>
      <c r="AK56" s="6" t="s">
        <v>27</v>
      </c>
      <c r="AL56" t="s">
        <v>27</v>
      </c>
      <c r="AN56" t="s">
        <v>130</v>
      </c>
      <c r="AO56" s="1">
        <v>4</v>
      </c>
      <c r="AP56" s="13">
        <v>45111</v>
      </c>
      <c r="AQ56">
        <v>0</v>
      </c>
      <c r="AR56">
        <v>0</v>
      </c>
      <c r="AS56">
        <v>0</v>
      </c>
      <c r="AT56" t="s">
        <v>27</v>
      </c>
      <c r="AU56" s="6" t="s">
        <v>27</v>
      </c>
      <c r="AV56" t="s">
        <v>27</v>
      </c>
      <c r="AX56" t="s">
        <v>130</v>
      </c>
      <c r="AY56" s="1">
        <v>5</v>
      </c>
      <c r="AZ56" s="13">
        <v>45118</v>
      </c>
      <c r="BA56">
        <v>0</v>
      </c>
      <c r="BB56">
        <v>0</v>
      </c>
      <c r="BC56">
        <v>0</v>
      </c>
      <c r="BD56" t="s">
        <v>27</v>
      </c>
      <c r="BE56" s="6" t="s">
        <v>27</v>
      </c>
      <c r="BF56" t="s">
        <v>27</v>
      </c>
      <c r="BH56" t="s">
        <v>130</v>
      </c>
      <c r="BI56" s="1">
        <v>6</v>
      </c>
      <c r="BJ56" s="13">
        <v>45125</v>
      </c>
      <c r="BK56">
        <v>0</v>
      </c>
      <c r="BL56">
        <v>0</v>
      </c>
      <c r="BM56">
        <v>0</v>
      </c>
      <c r="BN56" t="s">
        <v>27</v>
      </c>
      <c r="BO56" s="6" t="s">
        <v>27</v>
      </c>
      <c r="BP56" t="s">
        <v>27</v>
      </c>
      <c r="BR56" t="s">
        <v>130</v>
      </c>
      <c r="BS56" s="1">
        <v>7</v>
      </c>
      <c r="BT56" s="13">
        <v>45132</v>
      </c>
      <c r="BU56">
        <v>0</v>
      </c>
      <c r="BV56">
        <v>1</v>
      </c>
      <c r="BW56">
        <v>1</v>
      </c>
      <c r="BX56" s="51" t="s">
        <v>33</v>
      </c>
      <c r="BY56" s="51" t="s">
        <v>33</v>
      </c>
      <c r="BZ56" s="51" t="s">
        <v>27</v>
      </c>
      <c r="CC56" s="37" t="s">
        <v>130</v>
      </c>
      <c r="CD56" s="35">
        <f t="shared" si="0"/>
        <v>1</v>
      </c>
    </row>
    <row r="57" spans="1:82" ht="14.4" x14ac:dyDescent="0.3">
      <c r="A57" t="s">
        <v>131</v>
      </c>
      <c r="B57" t="s">
        <v>84</v>
      </c>
      <c r="C57">
        <v>32.358420000000002</v>
      </c>
      <c r="D57">
        <v>-83.485039999999998</v>
      </c>
      <c r="E57" s="117">
        <v>45076</v>
      </c>
      <c r="F57" s="13">
        <v>45083</v>
      </c>
      <c r="H57" s="1" t="s">
        <v>25</v>
      </c>
      <c r="I57" s="12" t="s">
        <v>26</v>
      </c>
      <c r="J57" t="s">
        <v>131</v>
      </c>
      <c r="K57" s="6">
        <v>1</v>
      </c>
      <c r="L57" s="13">
        <v>45090</v>
      </c>
      <c r="M57">
        <v>0</v>
      </c>
      <c r="N57">
        <v>0</v>
      </c>
      <c r="O57">
        <v>0</v>
      </c>
      <c r="P57" t="s">
        <v>27</v>
      </c>
      <c r="Q57" s="6" t="s">
        <v>27</v>
      </c>
      <c r="R57" s="6" t="s">
        <v>27</v>
      </c>
      <c r="S57" s="2"/>
      <c r="T57" t="s">
        <v>131</v>
      </c>
      <c r="U57" s="6">
        <v>2</v>
      </c>
      <c r="V57" s="13">
        <v>45097</v>
      </c>
      <c r="W57">
        <v>0</v>
      </c>
      <c r="X57">
        <v>0</v>
      </c>
      <c r="Y57">
        <v>0</v>
      </c>
      <c r="Z57" t="s">
        <v>27</v>
      </c>
      <c r="AA57" s="6" t="s">
        <v>27</v>
      </c>
      <c r="AB57" t="s">
        <v>27</v>
      </c>
      <c r="AD57" t="s">
        <v>131</v>
      </c>
      <c r="AE57" s="1">
        <v>3</v>
      </c>
      <c r="AF57" s="13">
        <v>45104</v>
      </c>
      <c r="AG57">
        <v>0</v>
      </c>
      <c r="AH57">
        <v>0</v>
      </c>
      <c r="AI57">
        <v>0</v>
      </c>
      <c r="AJ57" t="s">
        <v>27</v>
      </c>
      <c r="AK57" s="6" t="s">
        <v>27</v>
      </c>
      <c r="AL57" t="s">
        <v>27</v>
      </c>
      <c r="AN57" t="s">
        <v>131</v>
      </c>
      <c r="AO57" s="1">
        <v>4</v>
      </c>
      <c r="AP57" s="13">
        <v>45111</v>
      </c>
      <c r="AQ57">
        <v>1</v>
      </c>
      <c r="AR57">
        <v>2</v>
      </c>
      <c r="AS57">
        <v>3</v>
      </c>
      <c r="AT57" t="s">
        <v>33</v>
      </c>
      <c r="AU57" s="6" t="s">
        <v>33</v>
      </c>
      <c r="AV57" t="s">
        <v>27</v>
      </c>
      <c r="AX57" t="s">
        <v>131</v>
      </c>
      <c r="AY57" s="1">
        <v>5</v>
      </c>
      <c r="AZ57" s="13">
        <v>45118</v>
      </c>
      <c r="BA57">
        <v>3</v>
      </c>
      <c r="BB57">
        <v>3</v>
      </c>
      <c r="BC57">
        <v>6</v>
      </c>
      <c r="BD57" t="s">
        <v>33</v>
      </c>
      <c r="BE57" s="6" t="s">
        <v>27</v>
      </c>
      <c r="BF57" t="s">
        <v>27</v>
      </c>
      <c r="BH57" t="s">
        <v>131</v>
      </c>
      <c r="BI57" s="1">
        <v>6</v>
      </c>
      <c r="BJ57" s="13">
        <v>45125</v>
      </c>
      <c r="BK57">
        <v>0</v>
      </c>
      <c r="BL57">
        <v>0</v>
      </c>
      <c r="BM57">
        <v>0</v>
      </c>
      <c r="BN57" t="s">
        <v>27</v>
      </c>
      <c r="BO57" s="6" t="s">
        <v>27</v>
      </c>
      <c r="BP57" t="s">
        <v>27</v>
      </c>
      <c r="BR57" t="s">
        <v>131</v>
      </c>
      <c r="BS57" s="1">
        <v>7</v>
      </c>
      <c r="BT57" s="13">
        <v>45132</v>
      </c>
      <c r="BU57">
        <v>0</v>
      </c>
      <c r="BV57">
        <v>0</v>
      </c>
      <c r="BW57">
        <v>0</v>
      </c>
      <c r="BX57" s="51" t="s">
        <v>27</v>
      </c>
      <c r="BY57" s="51" t="s">
        <v>27</v>
      </c>
      <c r="BZ57" s="51" t="s">
        <v>27</v>
      </c>
      <c r="CC57" s="37" t="s">
        <v>131</v>
      </c>
      <c r="CD57" s="35">
        <f t="shared" si="0"/>
        <v>9</v>
      </c>
    </row>
    <row r="58" spans="1:82" ht="14.4" x14ac:dyDescent="0.3">
      <c r="A58" t="s">
        <v>132</v>
      </c>
      <c r="B58" t="s">
        <v>84</v>
      </c>
      <c r="C58">
        <v>32.358510000000003</v>
      </c>
      <c r="D58">
        <v>-83.468829999999997</v>
      </c>
      <c r="E58" s="117">
        <v>45076</v>
      </c>
      <c r="F58" s="13">
        <v>45083</v>
      </c>
      <c r="H58" s="1" t="s">
        <v>25</v>
      </c>
      <c r="I58" s="12" t="s">
        <v>26</v>
      </c>
      <c r="J58" t="s">
        <v>132</v>
      </c>
      <c r="K58" s="6">
        <v>1</v>
      </c>
      <c r="L58" s="13">
        <v>45090</v>
      </c>
      <c r="M58">
        <v>0</v>
      </c>
      <c r="N58">
        <v>0</v>
      </c>
      <c r="O58">
        <v>0</v>
      </c>
      <c r="P58" t="s">
        <v>27</v>
      </c>
      <c r="Q58" s="6" t="s">
        <v>27</v>
      </c>
      <c r="R58" s="6" t="s">
        <v>27</v>
      </c>
      <c r="S58" s="2"/>
      <c r="T58" t="s">
        <v>132</v>
      </c>
      <c r="U58" s="6">
        <v>2</v>
      </c>
      <c r="V58" s="13">
        <v>45097</v>
      </c>
      <c r="W58">
        <v>0</v>
      </c>
      <c r="X58">
        <v>0</v>
      </c>
      <c r="Y58">
        <v>0</v>
      </c>
      <c r="Z58" t="s">
        <v>27</v>
      </c>
      <c r="AA58" s="6" t="s">
        <v>27</v>
      </c>
      <c r="AB58" t="s">
        <v>27</v>
      </c>
      <c r="AD58" t="s">
        <v>132</v>
      </c>
      <c r="AE58" s="1">
        <v>3</v>
      </c>
      <c r="AF58" s="13">
        <v>45104</v>
      </c>
      <c r="AG58">
        <v>0</v>
      </c>
      <c r="AH58">
        <v>0</v>
      </c>
      <c r="AI58">
        <v>0</v>
      </c>
      <c r="AJ58" t="s">
        <v>27</v>
      </c>
      <c r="AK58" s="6" t="s">
        <v>27</v>
      </c>
      <c r="AL58" t="s">
        <v>27</v>
      </c>
      <c r="AN58" t="s">
        <v>132</v>
      </c>
      <c r="AO58" s="1">
        <v>4</v>
      </c>
      <c r="AP58" s="13">
        <v>45111</v>
      </c>
      <c r="AQ58">
        <v>0</v>
      </c>
      <c r="AR58">
        <v>0</v>
      </c>
      <c r="AS58">
        <v>0</v>
      </c>
      <c r="AT58" t="s">
        <v>27</v>
      </c>
      <c r="AU58" s="6" t="s">
        <v>27</v>
      </c>
      <c r="AV58" t="s">
        <v>27</v>
      </c>
      <c r="AX58" t="s">
        <v>132</v>
      </c>
      <c r="AY58" s="1">
        <v>5</v>
      </c>
      <c r="AZ58" s="13">
        <v>45118</v>
      </c>
      <c r="BA58">
        <v>0</v>
      </c>
      <c r="BB58">
        <v>0</v>
      </c>
      <c r="BC58">
        <v>0</v>
      </c>
      <c r="BD58" t="s">
        <v>27</v>
      </c>
      <c r="BE58" s="6" t="s">
        <v>27</v>
      </c>
      <c r="BF58" t="s">
        <v>27</v>
      </c>
      <c r="BH58" t="s">
        <v>132</v>
      </c>
      <c r="BI58" s="1">
        <v>6</v>
      </c>
      <c r="BJ58" s="13">
        <v>45125</v>
      </c>
      <c r="BK58">
        <v>0</v>
      </c>
      <c r="BL58">
        <v>0</v>
      </c>
      <c r="BM58">
        <v>0</v>
      </c>
      <c r="BN58" t="s">
        <v>27</v>
      </c>
      <c r="BO58" s="6" t="s">
        <v>27</v>
      </c>
      <c r="BP58" t="s">
        <v>27</v>
      </c>
      <c r="BR58" t="s">
        <v>132</v>
      </c>
      <c r="BS58" s="1">
        <v>7</v>
      </c>
      <c r="BT58" s="13">
        <v>45132</v>
      </c>
      <c r="BU58">
        <v>0</v>
      </c>
      <c r="BV58">
        <v>0</v>
      </c>
      <c r="BW58">
        <v>0</v>
      </c>
      <c r="BX58" s="51" t="s">
        <v>27</v>
      </c>
      <c r="BY58" s="51" t="s">
        <v>27</v>
      </c>
      <c r="BZ58" s="51" t="s">
        <v>27</v>
      </c>
      <c r="CC58" s="37" t="s">
        <v>132</v>
      </c>
      <c r="CD58" s="35">
        <f t="shared" si="0"/>
        <v>0</v>
      </c>
    </row>
    <row r="59" spans="1:82" ht="14.4" x14ac:dyDescent="0.3">
      <c r="A59" t="s">
        <v>133</v>
      </c>
      <c r="B59" t="s">
        <v>84</v>
      </c>
      <c r="C59">
        <v>32.365029999999997</v>
      </c>
      <c r="D59">
        <v>-83.497370000000004</v>
      </c>
      <c r="E59" s="117">
        <v>45076</v>
      </c>
      <c r="F59" s="13">
        <v>45083</v>
      </c>
      <c r="H59" s="1" t="s">
        <v>25</v>
      </c>
      <c r="I59" s="12" t="s">
        <v>26</v>
      </c>
      <c r="J59" t="s">
        <v>133</v>
      </c>
      <c r="K59" s="6">
        <v>1</v>
      </c>
      <c r="L59" s="13">
        <v>45090</v>
      </c>
      <c r="M59">
        <v>0</v>
      </c>
      <c r="N59">
        <v>0</v>
      </c>
      <c r="O59">
        <v>0</v>
      </c>
      <c r="P59" t="s">
        <v>27</v>
      </c>
      <c r="Q59" s="6" t="s">
        <v>27</v>
      </c>
      <c r="R59" s="6" t="s">
        <v>27</v>
      </c>
      <c r="S59" s="2"/>
      <c r="T59" t="s">
        <v>133</v>
      </c>
      <c r="U59" s="6">
        <v>2</v>
      </c>
      <c r="V59" t="s">
        <v>134</v>
      </c>
      <c r="W59">
        <v>0</v>
      </c>
      <c r="X59">
        <v>0</v>
      </c>
      <c r="Y59">
        <v>0</v>
      </c>
      <c r="Z59" t="s">
        <v>27</v>
      </c>
      <c r="AA59" s="6" t="s">
        <v>27</v>
      </c>
      <c r="AB59" t="s">
        <v>27</v>
      </c>
      <c r="AD59" t="s">
        <v>133</v>
      </c>
      <c r="AE59" s="1">
        <v>3</v>
      </c>
      <c r="AF59" s="13">
        <v>45104</v>
      </c>
      <c r="AG59">
        <v>0</v>
      </c>
      <c r="AH59">
        <v>0</v>
      </c>
      <c r="AI59">
        <v>0</v>
      </c>
      <c r="AJ59" t="s">
        <v>27</v>
      </c>
      <c r="AK59" s="6" t="s">
        <v>27</v>
      </c>
      <c r="AL59" t="s">
        <v>27</v>
      </c>
      <c r="AN59" t="s">
        <v>133</v>
      </c>
      <c r="AO59" s="1">
        <v>4</v>
      </c>
      <c r="AP59" s="13">
        <v>45111</v>
      </c>
      <c r="AQ59">
        <v>0</v>
      </c>
      <c r="AR59">
        <v>0</v>
      </c>
      <c r="AS59">
        <v>0</v>
      </c>
      <c r="AT59" t="s">
        <v>27</v>
      </c>
      <c r="AU59" s="6" t="s">
        <v>27</v>
      </c>
      <c r="AV59" t="s">
        <v>27</v>
      </c>
      <c r="AX59" t="s">
        <v>133</v>
      </c>
      <c r="AY59" s="1">
        <v>5</v>
      </c>
      <c r="AZ59" s="13">
        <v>45118</v>
      </c>
      <c r="BA59">
        <v>0</v>
      </c>
      <c r="BB59">
        <v>0</v>
      </c>
      <c r="BC59">
        <v>0</v>
      </c>
      <c r="BD59" t="s">
        <v>27</v>
      </c>
      <c r="BE59" s="6" t="s">
        <v>27</v>
      </c>
      <c r="BF59" t="s">
        <v>27</v>
      </c>
      <c r="BH59" t="s">
        <v>133</v>
      </c>
      <c r="BI59" s="1">
        <v>6</v>
      </c>
      <c r="BJ59" s="13">
        <v>45125</v>
      </c>
      <c r="BK59">
        <v>0</v>
      </c>
      <c r="BL59">
        <v>0</v>
      </c>
      <c r="BM59">
        <v>0</v>
      </c>
      <c r="BN59" t="s">
        <v>27</v>
      </c>
      <c r="BO59" s="6" t="s">
        <v>27</v>
      </c>
      <c r="BP59" t="s">
        <v>27</v>
      </c>
      <c r="BR59" t="s">
        <v>133</v>
      </c>
      <c r="BS59" s="1">
        <v>7</v>
      </c>
      <c r="BT59" s="13">
        <v>45132</v>
      </c>
      <c r="BU59">
        <v>0</v>
      </c>
      <c r="BV59">
        <v>0</v>
      </c>
      <c r="BW59">
        <v>0</v>
      </c>
      <c r="BX59" s="51" t="s">
        <v>27</v>
      </c>
      <c r="BY59" s="51" t="s">
        <v>27</v>
      </c>
      <c r="BZ59" s="51" t="s">
        <v>27</v>
      </c>
      <c r="CC59" s="37" t="s">
        <v>133</v>
      </c>
      <c r="CD59" s="35">
        <f t="shared" si="0"/>
        <v>0</v>
      </c>
    </row>
    <row r="60" spans="1:82" ht="14.4" x14ac:dyDescent="0.3">
      <c r="A60" t="s">
        <v>135</v>
      </c>
      <c r="B60" t="s">
        <v>84</v>
      </c>
      <c r="C60">
        <v>32.369810000000001</v>
      </c>
      <c r="D60" s="21">
        <v>-83.489699999999999</v>
      </c>
      <c r="E60" s="116"/>
      <c r="F60" s="13">
        <v>45083</v>
      </c>
      <c r="H60" s="1" t="s">
        <v>25</v>
      </c>
      <c r="I60" s="12" t="s">
        <v>26</v>
      </c>
      <c r="J60" t="s">
        <v>135</v>
      </c>
      <c r="K60" s="6">
        <v>1</v>
      </c>
      <c r="L60" s="13">
        <v>45090</v>
      </c>
      <c r="M60">
        <v>0</v>
      </c>
      <c r="N60">
        <v>0</v>
      </c>
      <c r="O60">
        <v>0</v>
      </c>
      <c r="P60" t="s">
        <v>27</v>
      </c>
      <c r="Q60" s="6" t="s">
        <v>27</v>
      </c>
      <c r="R60" s="6" t="s">
        <v>27</v>
      </c>
      <c r="S60" s="2"/>
      <c r="T60" t="s">
        <v>135</v>
      </c>
      <c r="U60" s="6">
        <v>2</v>
      </c>
      <c r="V60" s="13">
        <v>45097</v>
      </c>
      <c r="W60">
        <v>0</v>
      </c>
      <c r="X60">
        <v>0</v>
      </c>
      <c r="Y60">
        <v>0</v>
      </c>
      <c r="Z60" t="s">
        <v>27</v>
      </c>
      <c r="AA60" s="6" t="s">
        <v>27</v>
      </c>
      <c r="AB60" t="s">
        <v>27</v>
      </c>
      <c r="AD60" t="s">
        <v>135</v>
      </c>
      <c r="AE60" s="1">
        <v>3</v>
      </c>
      <c r="AF60" s="13">
        <v>45104</v>
      </c>
      <c r="AG60">
        <v>0</v>
      </c>
      <c r="AH60">
        <v>0</v>
      </c>
      <c r="AI60">
        <v>0</v>
      </c>
      <c r="AJ60" t="s">
        <v>27</v>
      </c>
      <c r="AK60" s="6" t="s">
        <v>27</v>
      </c>
      <c r="AL60" t="s">
        <v>27</v>
      </c>
      <c r="AN60" t="s">
        <v>135</v>
      </c>
      <c r="AO60" s="1">
        <v>4</v>
      </c>
      <c r="AP60" s="13">
        <v>45111</v>
      </c>
      <c r="AQ60">
        <v>0</v>
      </c>
      <c r="AR60">
        <v>0</v>
      </c>
      <c r="AS60">
        <v>0</v>
      </c>
      <c r="AT60" t="s">
        <v>27</v>
      </c>
      <c r="AU60" s="6" t="s">
        <v>27</v>
      </c>
      <c r="AV60" t="s">
        <v>27</v>
      </c>
      <c r="AX60" t="s">
        <v>135</v>
      </c>
      <c r="AY60" s="1">
        <v>5</v>
      </c>
      <c r="AZ60" s="13">
        <v>45118</v>
      </c>
      <c r="BA60">
        <v>0</v>
      </c>
      <c r="BB60">
        <v>0</v>
      </c>
      <c r="BC60">
        <v>0</v>
      </c>
      <c r="BD60" t="s">
        <v>27</v>
      </c>
      <c r="BE60" s="6" t="s">
        <v>27</v>
      </c>
      <c r="BF60" t="s">
        <v>27</v>
      </c>
      <c r="BH60" t="s">
        <v>135</v>
      </c>
      <c r="BI60" s="1">
        <v>6</v>
      </c>
      <c r="BJ60" s="13">
        <v>45125</v>
      </c>
      <c r="BK60">
        <v>0</v>
      </c>
      <c r="BL60">
        <v>0</v>
      </c>
      <c r="BM60">
        <v>0</v>
      </c>
      <c r="BN60" t="s">
        <v>27</v>
      </c>
      <c r="BO60" s="6" t="s">
        <v>27</v>
      </c>
      <c r="BP60" t="s">
        <v>27</v>
      </c>
      <c r="BR60" t="s">
        <v>135</v>
      </c>
      <c r="BS60" s="1">
        <v>7</v>
      </c>
      <c r="BT60" s="13">
        <v>45132</v>
      </c>
      <c r="BU60">
        <v>0</v>
      </c>
      <c r="BV60">
        <v>0</v>
      </c>
      <c r="BW60">
        <v>0</v>
      </c>
      <c r="BX60" s="51" t="s">
        <v>27</v>
      </c>
      <c r="BY60" s="51" t="s">
        <v>27</v>
      </c>
      <c r="BZ60" s="51" t="s">
        <v>27</v>
      </c>
      <c r="CC60" s="37" t="s">
        <v>135</v>
      </c>
      <c r="CD60" s="35">
        <f t="shared" si="0"/>
        <v>0</v>
      </c>
    </row>
    <row r="61" spans="1:82" ht="14.4" x14ac:dyDescent="0.3">
      <c r="A61" t="s">
        <v>136</v>
      </c>
      <c r="B61" t="s">
        <v>84</v>
      </c>
      <c r="C61">
        <v>32.372610000000002</v>
      </c>
      <c r="D61">
        <v>-83.468159999999997</v>
      </c>
      <c r="E61" s="13">
        <v>45075</v>
      </c>
      <c r="F61" s="13">
        <v>45083</v>
      </c>
      <c r="H61" s="1" t="s">
        <v>25</v>
      </c>
      <c r="I61" s="12" t="s">
        <v>26</v>
      </c>
      <c r="J61" t="s">
        <v>136</v>
      </c>
      <c r="K61" s="6">
        <v>1</v>
      </c>
      <c r="L61" s="13">
        <v>45090</v>
      </c>
      <c r="M61">
        <v>0</v>
      </c>
      <c r="N61">
        <v>0</v>
      </c>
      <c r="O61">
        <v>0</v>
      </c>
      <c r="P61" t="s">
        <v>27</v>
      </c>
      <c r="Q61" s="6" t="s">
        <v>27</v>
      </c>
      <c r="R61" s="6" t="s">
        <v>27</v>
      </c>
      <c r="S61" s="2"/>
      <c r="T61" t="s">
        <v>136</v>
      </c>
      <c r="U61" s="6">
        <v>2</v>
      </c>
      <c r="V61" s="13">
        <v>45097</v>
      </c>
      <c r="W61">
        <v>0</v>
      </c>
      <c r="X61">
        <v>0</v>
      </c>
      <c r="Y61">
        <v>0</v>
      </c>
      <c r="Z61" t="s">
        <v>27</v>
      </c>
      <c r="AA61" s="6" t="s">
        <v>27</v>
      </c>
      <c r="AB61" t="s">
        <v>27</v>
      </c>
      <c r="AD61" t="s">
        <v>136</v>
      </c>
      <c r="AE61" s="1">
        <v>3</v>
      </c>
      <c r="AF61" s="13">
        <v>45104</v>
      </c>
      <c r="AG61">
        <v>0</v>
      </c>
      <c r="AH61">
        <v>0</v>
      </c>
      <c r="AI61">
        <v>0</v>
      </c>
      <c r="AJ61" t="s">
        <v>27</v>
      </c>
      <c r="AK61" s="6" t="s">
        <v>27</v>
      </c>
      <c r="AL61" t="s">
        <v>27</v>
      </c>
      <c r="AN61" t="s">
        <v>136</v>
      </c>
      <c r="AO61" s="1">
        <v>4</v>
      </c>
      <c r="AP61" s="13">
        <v>45111</v>
      </c>
      <c r="AQ61">
        <v>0</v>
      </c>
      <c r="AR61">
        <v>0</v>
      </c>
      <c r="AS61">
        <v>0</v>
      </c>
      <c r="AT61" t="s">
        <v>27</v>
      </c>
      <c r="AU61" s="6" t="s">
        <v>27</v>
      </c>
      <c r="AV61" t="s">
        <v>27</v>
      </c>
      <c r="AX61" t="s">
        <v>136</v>
      </c>
      <c r="AY61" s="1">
        <v>5</v>
      </c>
      <c r="AZ61" s="13">
        <v>45118</v>
      </c>
      <c r="BA61">
        <v>0</v>
      </c>
      <c r="BB61">
        <v>0</v>
      </c>
      <c r="BC61">
        <v>0</v>
      </c>
      <c r="BD61" t="s">
        <v>27</v>
      </c>
      <c r="BE61" s="6" t="s">
        <v>27</v>
      </c>
      <c r="BF61" t="s">
        <v>27</v>
      </c>
      <c r="BH61" t="s">
        <v>136</v>
      </c>
      <c r="BI61" s="1">
        <v>6</v>
      </c>
      <c r="BJ61" s="13">
        <v>45125</v>
      </c>
      <c r="BK61">
        <v>0</v>
      </c>
      <c r="BL61">
        <v>0</v>
      </c>
      <c r="BM61">
        <v>0</v>
      </c>
      <c r="BN61" t="s">
        <v>27</v>
      </c>
      <c r="BO61" s="6" t="s">
        <v>27</v>
      </c>
      <c r="BP61" t="s">
        <v>27</v>
      </c>
      <c r="BR61" t="s">
        <v>136</v>
      </c>
      <c r="BS61" s="1">
        <v>7</v>
      </c>
      <c r="BT61" s="13">
        <v>45132</v>
      </c>
      <c r="BU61">
        <v>0</v>
      </c>
      <c r="BV61">
        <v>0</v>
      </c>
      <c r="BW61">
        <v>0</v>
      </c>
      <c r="BX61" s="51" t="s">
        <v>27</v>
      </c>
      <c r="BY61" s="51" t="s">
        <v>27</v>
      </c>
      <c r="BZ61" s="51" t="s">
        <v>27</v>
      </c>
      <c r="CC61" s="37" t="s">
        <v>136</v>
      </c>
      <c r="CD61" s="35">
        <f t="shared" si="0"/>
        <v>0</v>
      </c>
    </row>
    <row r="62" spans="1:82" ht="14.4" x14ac:dyDescent="0.3">
      <c r="A62" t="s">
        <v>137</v>
      </c>
      <c r="B62" t="s">
        <v>84</v>
      </c>
      <c r="C62">
        <v>32.380989999999997</v>
      </c>
      <c r="D62">
        <v>-83.495919999999998</v>
      </c>
      <c r="E62" s="13">
        <v>45063</v>
      </c>
      <c r="F62" s="13">
        <v>45083</v>
      </c>
      <c r="H62" s="1" t="s">
        <v>25</v>
      </c>
      <c r="I62" s="12" t="s">
        <v>26</v>
      </c>
      <c r="J62" t="s">
        <v>137</v>
      </c>
      <c r="K62" s="6">
        <v>1</v>
      </c>
      <c r="L62" s="13">
        <v>45090</v>
      </c>
      <c r="M62">
        <v>0</v>
      </c>
      <c r="N62">
        <v>0</v>
      </c>
      <c r="O62">
        <v>0</v>
      </c>
      <c r="P62" t="s">
        <v>27</v>
      </c>
      <c r="Q62" s="6" t="s">
        <v>27</v>
      </c>
      <c r="R62" s="6" t="s">
        <v>27</v>
      </c>
      <c r="S62" s="2"/>
      <c r="T62" t="s">
        <v>137</v>
      </c>
      <c r="U62" s="6">
        <v>2</v>
      </c>
      <c r="V62" s="13">
        <v>45097</v>
      </c>
      <c r="W62">
        <v>0</v>
      </c>
      <c r="X62">
        <v>0</v>
      </c>
      <c r="Y62">
        <v>0</v>
      </c>
      <c r="Z62" t="s">
        <v>27</v>
      </c>
      <c r="AA62" s="6" t="s">
        <v>27</v>
      </c>
      <c r="AB62" t="s">
        <v>27</v>
      </c>
      <c r="AD62" t="s">
        <v>137</v>
      </c>
      <c r="AE62" s="1">
        <v>3</v>
      </c>
      <c r="AF62" s="13">
        <v>45104</v>
      </c>
      <c r="AG62">
        <v>0</v>
      </c>
      <c r="AH62">
        <v>0</v>
      </c>
      <c r="AI62">
        <v>0</v>
      </c>
      <c r="AJ62" t="s">
        <v>27</v>
      </c>
      <c r="AK62" s="6" t="s">
        <v>27</v>
      </c>
      <c r="AL62" t="s">
        <v>27</v>
      </c>
      <c r="AN62" t="s">
        <v>137</v>
      </c>
      <c r="AO62" s="1">
        <v>4</v>
      </c>
      <c r="AP62" s="13">
        <v>45111</v>
      </c>
      <c r="AQ62">
        <v>0</v>
      </c>
      <c r="AR62">
        <v>0</v>
      </c>
      <c r="AS62">
        <v>0</v>
      </c>
      <c r="AT62" t="s">
        <v>27</v>
      </c>
      <c r="AU62" s="6" t="s">
        <v>27</v>
      </c>
      <c r="AV62" t="s">
        <v>27</v>
      </c>
      <c r="AX62" t="s">
        <v>137</v>
      </c>
      <c r="AY62" s="1">
        <v>5</v>
      </c>
      <c r="AZ62" s="13">
        <v>45118</v>
      </c>
      <c r="BA62">
        <v>0</v>
      </c>
      <c r="BB62">
        <v>0</v>
      </c>
      <c r="BC62">
        <v>0</v>
      </c>
      <c r="BD62" t="s">
        <v>27</v>
      </c>
      <c r="BE62" s="6" t="s">
        <v>27</v>
      </c>
      <c r="BF62" t="s">
        <v>27</v>
      </c>
      <c r="BH62" t="s">
        <v>137</v>
      </c>
      <c r="BI62" s="1">
        <v>6</v>
      </c>
      <c r="BJ62" s="13">
        <v>45125</v>
      </c>
      <c r="BK62">
        <v>0</v>
      </c>
      <c r="BL62">
        <v>0</v>
      </c>
      <c r="BM62">
        <v>0</v>
      </c>
      <c r="BN62" t="s">
        <v>27</v>
      </c>
      <c r="BO62" s="6" t="s">
        <v>27</v>
      </c>
      <c r="BP62" t="s">
        <v>27</v>
      </c>
      <c r="BR62" t="s">
        <v>137</v>
      </c>
      <c r="BS62" s="1">
        <v>7</v>
      </c>
      <c r="BT62" s="13">
        <v>45132</v>
      </c>
      <c r="BU62">
        <v>0</v>
      </c>
      <c r="BV62">
        <v>0</v>
      </c>
      <c r="BW62">
        <v>0</v>
      </c>
      <c r="BX62" s="51" t="s">
        <v>27</v>
      </c>
      <c r="BY62" s="51" t="s">
        <v>27</v>
      </c>
      <c r="BZ62" s="51" t="s">
        <v>27</v>
      </c>
      <c r="CC62" s="37" t="s">
        <v>137</v>
      </c>
      <c r="CD62" s="35">
        <f t="shared" si="0"/>
        <v>0</v>
      </c>
    </row>
    <row r="63" spans="1:82" ht="14.4" x14ac:dyDescent="0.3">
      <c r="A63" t="s">
        <v>138</v>
      </c>
      <c r="B63" t="s">
        <v>84</v>
      </c>
      <c r="C63">
        <v>32.387439999999998</v>
      </c>
      <c r="D63">
        <v>-83.485420000000005</v>
      </c>
      <c r="E63" s="13">
        <v>45063</v>
      </c>
      <c r="F63" s="13">
        <v>45087</v>
      </c>
      <c r="H63" s="1" t="s">
        <v>25</v>
      </c>
      <c r="I63" s="12" t="s">
        <v>26</v>
      </c>
      <c r="J63" t="s">
        <v>138</v>
      </c>
      <c r="K63" s="6">
        <v>1</v>
      </c>
      <c r="L63" s="13">
        <v>45087</v>
      </c>
      <c r="M63">
        <v>0</v>
      </c>
      <c r="N63">
        <v>0</v>
      </c>
      <c r="O63">
        <v>0</v>
      </c>
      <c r="P63" t="s">
        <v>27</v>
      </c>
      <c r="Q63" s="6" t="s">
        <v>27</v>
      </c>
      <c r="R63" s="6" t="s">
        <v>27</v>
      </c>
      <c r="S63" s="2"/>
      <c r="T63" t="s">
        <v>138</v>
      </c>
      <c r="U63" s="6">
        <v>2</v>
      </c>
      <c r="V63" s="13">
        <v>45101</v>
      </c>
      <c r="W63">
        <v>0</v>
      </c>
      <c r="X63">
        <v>0</v>
      </c>
      <c r="Y63">
        <v>0</v>
      </c>
      <c r="Z63" t="s">
        <v>27</v>
      </c>
      <c r="AA63" s="6" t="s">
        <v>27</v>
      </c>
      <c r="AB63" t="s">
        <v>27</v>
      </c>
      <c r="AD63" t="s">
        <v>138</v>
      </c>
      <c r="AE63" s="1">
        <v>3</v>
      </c>
      <c r="AF63" s="13">
        <v>45108</v>
      </c>
      <c r="AG63">
        <v>0</v>
      </c>
      <c r="AH63">
        <v>0</v>
      </c>
      <c r="AI63">
        <v>0</v>
      </c>
      <c r="AJ63" t="s">
        <v>27</v>
      </c>
      <c r="AK63" s="6" t="s">
        <v>27</v>
      </c>
      <c r="AL63" t="s">
        <v>27</v>
      </c>
      <c r="AN63" t="s">
        <v>138</v>
      </c>
      <c r="AO63" s="1">
        <v>4</v>
      </c>
      <c r="AP63" s="13">
        <v>45115</v>
      </c>
      <c r="AQ63">
        <v>0</v>
      </c>
      <c r="AR63">
        <v>0</v>
      </c>
      <c r="AS63">
        <v>0</v>
      </c>
      <c r="AT63" t="s">
        <v>27</v>
      </c>
      <c r="AU63" s="6" t="s">
        <v>27</v>
      </c>
      <c r="AV63" t="s">
        <v>27</v>
      </c>
      <c r="AX63" t="s">
        <v>138</v>
      </c>
      <c r="AY63" s="1">
        <v>5</v>
      </c>
      <c r="AZ63" s="13">
        <v>45122</v>
      </c>
      <c r="BA63">
        <v>0</v>
      </c>
      <c r="BB63">
        <v>0</v>
      </c>
      <c r="BC63">
        <v>0</v>
      </c>
      <c r="BD63" t="s">
        <v>27</v>
      </c>
      <c r="BE63" s="6" t="s">
        <v>27</v>
      </c>
      <c r="BF63" t="s">
        <v>27</v>
      </c>
      <c r="BH63" t="s">
        <v>138</v>
      </c>
      <c r="BI63" s="1">
        <v>6</v>
      </c>
      <c r="BJ63" s="13">
        <v>45129</v>
      </c>
      <c r="BK63">
        <v>0</v>
      </c>
      <c r="BL63">
        <v>0</v>
      </c>
      <c r="BM63">
        <v>0</v>
      </c>
      <c r="BN63" t="s">
        <v>27</v>
      </c>
      <c r="BO63" s="6" t="s">
        <v>27</v>
      </c>
      <c r="BP63" t="s">
        <v>27</v>
      </c>
      <c r="BR63" t="s">
        <v>138</v>
      </c>
      <c r="BS63" s="1">
        <v>7</v>
      </c>
      <c r="BT63" s="13">
        <v>45136</v>
      </c>
      <c r="BU63">
        <v>0</v>
      </c>
      <c r="BV63">
        <v>0</v>
      </c>
      <c r="BW63">
        <v>0</v>
      </c>
      <c r="BX63" s="51" t="s">
        <v>27</v>
      </c>
      <c r="BY63" s="51" t="s">
        <v>27</v>
      </c>
      <c r="BZ63" s="51" t="s">
        <v>27</v>
      </c>
      <c r="CC63" s="37" t="s">
        <v>138</v>
      </c>
      <c r="CD63" s="35">
        <f t="shared" si="0"/>
        <v>0</v>
      </c>
    </row>
    <row r="64" spans="1:82" ht="14.4" x14ac:dyDescent="0.3">
      <c r="A64" t="s">
        <v>139</v>
      </c>
      <c r="B64" t="s">
        <v>84</v>
      </c>
      <c r="C64">
        <v>32.402619999999999</v>
      </c>
      <c r="D64">
        <v>-83.489990000000006</v>
      </c>
      <c r="E64" s="13">
        <v>45075</v>
      </c>
      <c r="F64" s="13">
        <v>45087</v>
      </c>
      <c r="H64" s="1" t="s">
        <v>25</v>
      </c>
      <c r="I64" s="12" t="s">
        <v>26</v>
      </c>
      <c r="J64" t="s">
        <v>139</v>
      </c>
      <c r="K64" s="6">
        <v>1</v>
      </c>
      <c r="L64" s="13">
        <v>45094</v>
      </c>
      <c r="M64">
        <v>0</v>
      </c>
      <c r="N64">
        <v>0</v>
      </c>
      <c r="O64">
        <v>0</v>
      </c>
      <c r="P64" t="s">
        <v>27</v>
      </c>
      <c r="Q64" s="6" t="s">
        <v>27</v>
      </c>
      <c r="R64" s="6" t="s">
        <v>27</v>
      </c>
      <c r="S64" s="2"/>
      <c r="T64" t="s">
        <v>139</v>
      </c>
      <c r="U64" s="6">
        <v>2</v>
      </c>
      <c r="V64" s="13">
        <v>45101</v>
      </c>
      <c r="W64">
        <v>0</v>
      </c>
      <c r="X64">
        <v>0</v>
      </c>
      <c r="Y64">
        <v>0</v>
      </c>
      <c r="Z64" t="s">
        <v>27</v>
      </c>
      <c r="AA64" s="6" t="s">
        <v>27</v>
      </c>
      <c r="AB64" t="s">
        <v>27</v>
      </c>
      <c r="AD64" t="s">
        <v>139</v>
      </c>
      <c r="AE64" s="1">
        <v>3</v>
      </c>
      <c r="AF64" s="13">
        <v>45108</v>
      </c>
      <c r="AG64">
        <v>0</v>
      </c>
      <c r="AH64">
        <v>0</v>
      </c>
      <c r="AI64">
        <v>0</v>
      </c>
      <c r="AJ64" t="s">
        <v>27</v>
      </c>
      <c r="AK64" s="6" t="s">
        <v>27</v>
      </c>
      <c r="AL64" t="s">
        <v>27</v>
      </c>
      <c r="AN64" t="s">
        <v>139</v>
      </c>
      <c r="AO64" s="1">
        <v>4</v>
      </c>
      <c r="AP64" s="13">
        <v>45115</v>
      </c>
      <c r="AQ64">
        <v>0</v>
      </c>
      <c r="AR64">
        <v>0</v>
      </c>
      <c r="AS64">
        <v>0</v>
      </c>
      <c r="AT64" t="s">
        <v>27</v>
      </c>
      <c r="AU64" s="6" t="s">
        <v>27</v>
      </c>
      <c r="AV64" t="s">
        <v>27</v>
      </c>
      <c r="AX64" t="s">
        <v>139</v>
      </c>
      <c r="AY64" s="1">
        <v>5</v>
      </c>
      <c r="AZ64" s="13">
        <v>45122</v>
      </c>
      <c r="BA64">
        <v>0</v>
      </c>
      <c r="BB64">
        <v>0</v>
      </c>
      <c r="BC64">
        <v>0</v>
      </c>
      <c r="BD64" t="s">
        <v>27</v>
      </c>
      <c r="BE64" s="6" t="s">
        <v>27</v>
      </c>
      <c r="BF64" t="s">
        <v>27</v>
      </c>
      <c r="BH64" t="s">
        <v>139</v>
      </c>
      <c r="BI64" s="1">
        <v>6</v>
      </c>
      <c r="BJ64" s="13">
        <v>45129</v>
      </c>
      <c r="BK64">
        <v>0</v>
      </c>
      <c r="BL64">
        <v>1</v>
      </c>
      <c r="BM64">
        <v>1</v>
      </c>
      <c r="BN64" t="s">
        <v>33</v>
      </c>
      <c r="BO64" s="6" t="s">
        <v>33</v>
      </c>
      <c r="BP64" t="s">
        <v>27</v>
      </c>
      <c r="BR64" t="s">
        <v>139</v>
      </c>
      <c r="BS64" s="1">
        <v>7</v>
      </c>
      <c r="BT64" s="13">
        <v>45136</v>
      </c>
      <c r="BU64">
        <v>0</v>
      </c>
      <c r="BV64">
        <v>0</v>
      </c>
      <c r="BW64">
        <v>0</v>
      </c>
      <c r="BX64" s="51" t="s">
        <v>27</v>
      </c>
      <c r="BY64" s="51" t="s">
        <v>27</v>
      </c>
      <c r="BZ64" s="51" t="s">
        <v>27</v>
      </c>
      <c r="CC64" s="37" t="s">
        <v>139</v>
      </c>
      <c r="CD64" s="35">
        <f t="shared" si="0"/>
        <v>1</v>
      </c>
    </row>
    <row r="65" spans="1:82" ht="14.4" x14ac:dyDescent="0.3">
      <c r="A65" t="s">
        <v>140</v>
      </c>
      <c r="B65" t="s">
        <v>84</v>
      </c>
      <c r="C65">
        <v>32.415619999999997</v>
      </c>
      <c r="D65">
        <v>-83.47945</v>
      </c>
      <c r="E65" s="13">
        <v>45063</v>
      </c>
      <c r="F65" s="13">
        <v>45087</v>
      </c>
      <c r="H65" s="1" t="s">
        <v>25</v>
      </c>
      <c r="I65" s="12" t="s">
        <v>26</v>
      </c>
      <c r="J65" t="s">
        <v>140</v>
      </c>
      <c r="K65" s="6">
        <v>1</v>
      </c>
      <c r="L65" s="13">
        <v>45094</v>
      </c>
      <c r="M65">
        <v>0</v>
      </c>
      <c r="N65">
        <v>0</v>
      </c>
      <c r="O65">
        <v>0</v>
      </c>
      <c r="P65" t="s">
        <v>27</v>
      </c>
      <c r="Q65" s="6" t="s">
        <v>27</v>
      </c>
      <c r="R65" s="6" t="s">
        <v>27</v>
      </c>
      <c r="S65" s="2"/>
      <c r="T65" t="s">
        <v>140</v>
      </c>
      <c r="U65" s="6">
        <v>2</v>
      </c>
      <c r="V65" s="13">
        <v>45101</v>
      </c>
      <c r="W65">
        <v>0</v>
      </c>
      <c r="X65">
        <v>0</v>
      </c>
      <c r="Y65">
        <v>0</v>
      </c>
      <c r="Z65" t="s">
        <v>27</v>
      </c>
      <c r="AA65" s="6" t="s">
        <v>27</v>
      </c>
      <c r="AB65" t="s">
        <v>27</v>
      </c>
      <c r="AD65" t="s">
        <v>140</v>
      </c>
      <c r="AE65" s="1">
        <v>3</v>
      </c>
      <c r="AF65" s="13">
        <v>45108</v>
      </c>
      <c r="AG65">
        <v>0</v>
      </c>
      <c r="AH65">
        <v>0</v>
      </c>
      <c r="AI65">
        <v>0</v>
      </c>
      <c r="AJ65" t="s">
        <v>27</v>
      </c>
      <c r="AK65" s="6" t="s">
        <v>27</v>
      </c>
      <c r="AL65" t="s">
        <v>27</v>
      </c>
      <c r="AN65" t="s">
        <v>140</v>
      </c>
      <c r="AO65" s="1">
        <v>4</v>
      </c>
      <c r="AP65" s="13">
        <v>45115</v>
      </c>
      <c r="AQ65">
        <v>0</v>
      </c>
      <c r="AR65">
        <v>0</v>
      </c>
      <c r="AS65">
        <v>0</v>
      </c>
      <c r="AT65" t="s">
        <v>27</v>
      </c>
      <c r="AU65" s="6" t="s">
        <v>27</v>
      </c>
      <c r="AV65" t="s">
        <v>27</v>
      </c>
      <c r="AX65" t="s">
        <v>140</v>
      </c>
      <c r="AY65" s="1">
        <v>5</v>
      </c>
      <c r="AZ65" s="13">
        <v>45122</v>
      </c>
      <c r="BA65">
        <v>0</v>
      </c>
      <c r="BB65">
        <v>0</v>
      </c>
      <c r="BC65">
        <v>0</v>
      </c>
      <c r="BD65" t="s">
        <v>27</v>
      </c>
      <c r="BE65" s="6" t="s">
        <v>27</v>
      </c>
      <c r="BF65" t="s">
        <v>27</v>
      </c>
      <c r="BH65" t="s">
        <v>140</v>
      </c>
      <c r="BI65" s="1">
        <v>6</v>
      </c>
      <c r="BJ65" s="13">
        <v>45129</v>
      </c>
      <c r="BK65">
        <v>0</v>
      </c>
      <c r="BL65">
        <v>0</v>
      </c>
      <c r="BM65">
        <v>0</v>
      </c>
      <c r="BN65" t="s">
        <v>27</v>
      </c>
      <c r="BO65" s="6" t="s">
        <v>27</v>
      </c>
      <c r="BP65" t="s">
        <v>27</v>
      </c>
      <c r="BR65" t="s">
        <v>140</v>
      </c>
      <c r="BS65" s="1">
        <v>7</v>
      </c>
      <c r="BT65" s="13">
        <v>45136</v>
      </c>
      <c r="BU65">
        <v>0</v>
      </c>
      <c r="BV65">
        <v>0</v>
      </c>
      <c r="BW65">
        <v>0</v>
      </c>
      <c r="BX65" s="51" t="s">
        <v>27</v>
      </c>
      <c r="BY65" s="51" t="s">
        <v>27</v>
      </c>
      <c r="BZ65" s="51" t="s">
        <v>27</v>
      </c>
      <c r="CC65" s="37" t="s">
        <v>140</v>
      </c>
      <c r="CD65" s="35">
        <f t="shared" si="0"/>
        <v>0</v>
      </c>
    </row>
    <row r="66" spans="1:82" ht="14.4" x14ac:dyDescent="0.3">
      <c r="A66" t="s">
        <v>141</v>
      </c>
      <c r="B66" t="s">
        <v>84</v>
      </c>
      <c r="C66">
        <v>32.420749999999998</v>
      </c>
      <c r="D66">
        <v>-83.454669999999993</v>
      </c>
      <c r="E66" s="13">
        <v>45063</v>
      </c>
      <c r="F66" s="13">
        <v>45084</v>
      </c>
      <c r="H66" s="1" t="s">
        <v>25</v>
      </c>
      <c r="I66" s="12" t="s">
        <v>26</v>
      </c>
      <c r="J66" t="s">
        <v>141</v>
      </c>
      <c r="K66" s="6">
        <v>1</v>
      </c>
      <c r="L66" s="13">
        <v>45091</v>
      </c>
      <c r="M66">
        <v>0</v>
      </c>
      <c r="N66">
        <v>0</v>
      </c>
      <c r="O66">
        <v>0</v>
      </c>
      <c r="P66" t="s">
        <v>27</v>
      </c>
      <c r="Q66" s="6" t="s">
        <v>27</v>
      </c>
      <c r="R66" s="6" t="s">
        <v>27</v>
      </c>
      <c r="S66" s="2"/>
      <c r="T66" t="s">
        <v>141</v>
      </c>
      <c r="U66" s="6">
        <v>2</v>
      </c>
      <c r="V66" s="13">
        <v>45098</v>
      </c>
      <c r="W66">
        <v>0</v>
      </c>
      <c r="X66">
        <v>1</v>
      </c>
      <c r="Y66">
        <v>1</v>
      </c>
      <c r="Z66" t="s">
        <v>27</v>
      </c>
      <c r="AA66" s="6" t="s">
        <v>27</v>
      </c>
      <c r="AB66" t="s">
        <v>142</v>
      </c>
      <c r="AD66" t="s">
        <v>141</v>
      </c>
      <c r="AE66" s="1">
        <v>3</v>
      </c>
      <c r="AF66" s="13">
        <v>45105</v>
      </c>
      <c r="AG66">
        <v>0</v>
      </c>
      <c r="AH66">
        <v>0</v>
      </c>
      <c r="AI66">
        <v>0</v>
      </c>
      <c r="AJ66" t="s">
        <v>27</v>
      </c>
      <c r="AK66" s="6" t="s">
        <v>27</v>
      </c>
      <c r="AL66" t="s">
        <v>27</v>
      </c>
      <c r="AN66" t="s">
        <v>141</v>
      </c>
      <c r="AO66" s="1">
        <v>4</v>
      </c>
      <c r="AP66" s="13">
        <v>45112</v>
      </c>
      <c r="AQ66">
        <v>0</v>
      </c>
      <c r="AR66">
        <v>0</v>
      </c>
      <c r="AS66">
        <v>0</v>
      </c>
      <c r="AT66" t="s">
        <v>27</v>
      </c>
      <c r="AU66" s="6" t="s">
        <v>27</v>
      </c>
      <c r="AV66" t="s">
        <v>27</v>
      </c>
      <c r="AX66" t="s">
        <v>141</v>
      </c>
      <c r="AY66" s="1">
        <v>5</v>
      </c>
      <c r="AZ66" s="13">
        <v>45120</v>
      </c>
      <c r="BA66">
        <v>4</v>
      </c>
      <c r="BB66">
        <v>5</v>
      </c>
      <c r="BC66">
        <v>9</v>
      </c>
      <c r="BD66" t="s">
        <v>33</v>
      </c>
      <c r="BE66" s="6" t="s">
        <v>33</v>
      </c>
      <c r="BF66" t="s">
        <v>27</v>
      </c>
      <c r="BG66" s="2" t="s">
        <v>32</v>
      </c>
      <c r="BH66" t="s">
        <v>141</v>
      </c>
      <c r="BI66" s="1">
        <v>6</v>
      </c>
      <c r="BJ66" s="13">
        <v>45126</v>
      </c>
      <c r="BK66">
        <v>5</v>
      </c>
      <c r="BL66">
        <v>6</v>
      </c>
      <c r="BM66">
        <v>11</v>
      </c>
      <c r="BN66" t="s">
        <v>33</v>
      </c>
      <c r="BO66" s="6" t="s">
        <v>33</v>
      </c>
      <c r="BP66" t="s">
        <v>33</v>
      </c>
      <c r="BQ66" s="2" t="s">
        <v>143</v>
      </c>
      <c r="BR66" t="s">
        <v>141</v>
      </c>
      <c r="BS66" s="1">
        <v>7</v>
      </c>
      <c r="BT66" s="13">
        <v>45133</v>
      </c>
      <c r="BU66">
        <v>3</v>
      </c>
      <c r="BV66">
        <v>1</v>
      </c>
      <c r="BW66">
        <v>4</v>
      </c>
      <c r="BX66" s="51" t="s">
        <v>33</v>
      </c>
      <c r="BY66" s="51" t="s">
        <v>33</v>
      </c>
      <c r="BZ66" s="51" t="s">
        <v>27</v>
      </c>
      <c r="CC66" s="37" t="s">
        <v>141</v>
      </c>
      <c r="CD66" s="35">
        <f t="shared" si="0"/>
        <v>25</v>
      </c>
    </row>
    <row r="67" spans="1:82" ht="14.4" x14ac:dyDescent="0.3">
      <c r="A67" t="s">
        <v>144</v>
      </c>
      <c r="B67" t="s">
        <v>84</v>
      </c>
      <c r="C67">
        <v>32.427990000000001</v>
      </c>
      <c r="D67">
        <v>-83.466710000000006</v>
      </c>
      <c r="E67" s="13">
        <v>45074</v>
      </c>
      <c r="F67" s="13">
        <v>45084</v>
      </c>
      <c r="H67" s="1" t="s">
        <v>25</v>
      </c>
      <c r="I67" s="12" t="s">
        <v>26</v>
      </c>
      <c r="J67" t="s">
        <v>144</v>
      </c>
      <c r="K67" s="6">
        <v>1</v>
      </c>
      <c r="L67" s="13">
        <v>45091</v>
      </c>
      <c r="M67">
        <v>0</v>
      </c>
      <c r="N67">
        <v>0</v>
      </c>
      <c r="O67">
        <v>0</v>
      </c>
      <c r="P67" t="s">
        <v>27</v>
      </c>
      <c r="Q67" s="6" t="s">
        <v>27</v>
      </c>
      <c r="R67" s="6" t="s">
        <v>27</v>
      </c>
      <c r="S67" s="2"/>
      <c r="T67" t="s">
        <v>144</v>
      </c>
      <c r="U67" s="6">
        <v>2</v>
      </c>
      <c r="V67" s="13">
        <v>45098</v>
      </c>
      <c r="W67">
        <v>0</v>
      </c>
      <c r="X67">
        <v>0</v>
      </c>
      <c r="Y67">
        <v>0</v>
      </c>
      <c r="Z67" t="s">
        <v>27</v>
      </c>
      <c r="AA67" s="6" t="s">
        <v>27</v>
      </c>
      <c r="AB67" t="s">
        <v>27</v>
      </c>
      <c r="AD67" t="s">
        <v>144</v>
      </c>
      <c r="AE67" s="1">
        <v>3</v>
      </c>
      <c r="AF67" s="13">
        <v>45105</v>
      </c>
      <c r="AG67">
        <v>0</v>
      </c>
      <c r="AH67">
        <v>0</v>
      </c>
      <c r="AI67">
        <v>0</v>
      </c>
      <c r="AJ67" t="s">
        <v>27</v>
      </c>
      <c r="AK67" s="6" t="s">
        <v>27</v>
      </c>
      <c r="AL67" t="s">
        <v>27</v>
      </c>
      <c r="AN67" t="s">
        <v>144</v>
      </c>
      <c r="AO67" s="1">
        <v>4</v>
      </c>
      <c r="AP67" s="13">
        <v>45112</v>
      </c>
      <c r="AQ67">
        <v>0</v>
      </c>
      <c r="AR67">
        <v>0</v>
      </c>
      <c r="AS67">
        <v>0</v>
      </c>
      <c r="AT67" t="s">
        <v>27</v>
      </c>
      <c r="AU67" s="6" t="s">
        <v>27</v>
      </c>
      <c r="AV67" t="s">
        <v>27</v>
      </c>
      <c r="AX67" t="s">
        <v>144</v>
      </c>
      <c r="AY67" s="1">
        <v>5</v>
      </c>
      <c r="AZ67" s="13">
        <v>45120</v>
      </c>
      <c r="BA67">
        <v>15</v>
      </c>
      <c r="BB67">
        <v>14</v>
      </c>
      <c r="BC67">
        <v>29</v>
      </c>
      <c r="BD67" t="s">
        <v>33</v>
      </c>
      <c r="BE67" s="6" t="s">
        <v>33</v>
      </c>
      <c r="BF67" t="s">
        <v>27</v>
      </c>
      <c r="BG67" s="2" t="s">
        <v>32</v>
      </c>
      <c r="BH67" t="s">
        <v>144</v>
      </c>
      <c r="BI67" s="1">
        <v>6</v>
      </c>
      <c r="BJ67" s="13">
        <v>45126</v>
      </c>
      <c r="BK67">
        <v>12</v>
      </c>
      <c r="BL67">
        <v>14</v>
      </c>
      <c r="BM67">
        <v>26</v>
      </c>
      <c r="BN67" t="s">
        <v>33</v>
      </c>
      <c r="BO67" s="6" t="s">
        <v>33</v>
      </c>
      <c r="BP67" t="s">
        <v>27</v>
      </c>
      <c r="BR67" t="s">
        <v>144</v>
      </c>
      <c r="BS67" s="1">
        <v>7</v>
      </c>
      <c r="BT67" s="13">
        <v>45133</v>
      </c>
      <c r="BU67">
        <v>4</v>
      </c>
      <c r="BV67">
        <v>3</v>
      </c>
      <c r="BW67">
        <v>7</v>
      </c>
      <c r="BX67" s="51" t="s">
        <v>33</v>
      </c>
      <c r="BY67" s="51" t="s">
        <v>27</v>
      </c>
      <c r="BZ67" s="51" t="s">
        <v>27</v>
      </c>
      <c r="CC67" s="37" t="s">
        <v>144</v>
      </c>
      <c r="CD67" s="35">
        <f t="shared" ref="CD67:CD130" si="2">SUM(O67+Y67+AI67+AS67+BC67+BM67+BW67)</f>
        <v>62</v>
      </c>
    </row>
    <row r="68" spans="1:82" ht="14.4" x14ac:dyDescent="0.3">
      <c r="A68" t="s">
        <v>145</v>
      </c>
      <c r="B68" t="s">
        <v>84</v>
      </c>
      <c r="C68">
        <v>32.432310000000001</v>
      </c>
      <c r="D68">
        <v>-83.453879999999998</v>
      </c>
      <c r="E68" s="13">
        <v>45063</v>
      </c>
      <c r="F68" s="13">
        <v>45087</v>
      </c>
      <c r="H68" s="1" t="s">
        <v>25</v>
      </c>
      <c r="I68" s="12" t="s">
        <v>26</v>
      </c>
      <c r="J68" t="s">
        <v>145</v>
      </c>
      <c r="K68" s="6">
        <v>1</v>
      </c>
      <c r="L68" s="13">
        <v>45094</v>
      </c>
      <c r="M68">
        <v>0</v>
      </c>
      <c r="N68">
        <v>0</v>
      </c>
      <c r="O68">
        <v>0</v>
      </c>
      <c r="P68" t="s">
        <v>27</v>
      </c>
      <c r="Q68" s="6" t="s">
        <v>27</v>
      </c>
      <c r="R68" s="6" t="s">
        <v>27</v>
      </c>
      <c r="S68" s="2"/>
      <c r="T68" t="s">
        <v>145</v>
      </c>
      <c r="U68" s="6">
        <v>2</v>
      </c>
      <c r="V68" s="13">
        <v>45101</v>
      </c>
      <c r="W68">
        <v>0</v>
      </c>
      <c r="X68">
        <v>0</v>
      </c>
      <c r="Y68">
        <v>0</v>
      </c>
      <c r="Z68" t="s">
        <v>27</v>
      </c>
      <c r="AA68" s="6" t="s">
        <v>27</v>
      </c>
      <c r="AB68" t="s">
        <v>27</v>
      </c>
      <c r="AD68" t="s">
        <v>145</v>
      </c>
      <c r="AE68" s="1">
        <v>3</v>
      </c>
      <c r="AF68" s="13">
        <v>45108</v>
      </c>
      <c r="AG68">
        <v>0</v>
      </c>
      <c r="AH68">
        <v>0</v>
      </c>
      <c r="AI68">
        <v>0</v>
      </c>
      <c r="AJ68" t="s">
        <v>27</v>
      </c>
      <c r="AK68" s="6" t="s">
        <v>27</v>
      </c>
      <c r="AL68" t="s">
        <v>27</v>
      </c>
      <c r="AN68" t="s">
        <v>145</v>
      </c>
      <c r="AO68" s="1">
        <v>4</v>
      </c>
      <c r="AP68" s="13">
        <v>45115</v>
      </c>
      <c r="AQ68">
        <v>0</v>
      </c>
      <c r="AR68">
        <v>0</v>
      </c>
      <c r="AS68">
        <v>0</v>
      </c>
      <c r="AT68" t="s">
        <v>27</v>
      </c>
      <c r="AU68" s="6" t="s">
        <v>27</v>
      </c>
      <c r="AV68" t="s">
        <v>27</v>
      </c>
      <c r="AX68" t="s">
        <v>145</v>
      </c>
      <c r="AY68" s="1">
        <v>5</v>
      </c>
      <c r="AZ68" s="13">
        <v>45122</v>
      </c>
      <c r="BA68">
        <v>0</v>
      </c>
      <c r="BB68">
        <v>0</v>
      </c>
      <c r="BC68">
        <v>0</v>
      </c>
      <c r="BD68" t="s">
        <v>27</v>
      </c>
      <c r="BE68" s="6" t="s">
        <v>27</v>
      </c>
      <c r="BF68" t="s">
        <v>27</v>
      </c>
      <c r="BH68" t="s">
        <v>145</v>
      </c>
      <c r="BI68" s="1">
        <v>6</v>
      </c>
      <c r="BJ68" s="13">
        <v>45129</v>
      </c>
      <c r="BK68">
        <v>0</v>
      </c>
      <c r="BL68">
        <v>0</v>
      </c>
      <c r="BM68">
        <v>0</v>
      </c>
      <c r="BN68" t="s">
        <v>27</v>
      </c>
      <c r="BO68" s="6" t="s">
        <v>27</v>
      </c>
      <c r="BP68" t="s">
        <v>27</v>
      </c>
      <c r="BR68" t="s">
        <v>145</v>
      </c>
      <c r="BS68" s="1">
        <v>7</v>
      </c>
      <c r="BT68" s="13">
        <v>45136</v>
      </c>
      <c r="BU68">
        <v>0</v>
      </c>
      <c r="BV68">
        <v>0</v>
      </c>
      <c r="BW68">
        <v>0</v>
      </c>
      <c r="BX68" s="51" t="s">
        <v>27</v>
      </c>
      <c r="BY68" s="51" t="s">
        <v>27</v>
      </c>
      <c r="BZ68" s="51" t="s">
        <v>27</v>
      </c>
      <c r="CC68" s="37" t="s">
        <v>145</v>
      </c>
      <c r="CD68" s="35">
        <f t="shared" si="2"/>
        <v>0</v>
      </c>
    </row>
    <row r="69" spans="1:82" ht="14.4" x14ac:dyDescent="0.3">
      <c r="A69" t="s">
        <v>146</v>
      </c>
      <c r="B69" t="s">
        <v>84</v>
      </c>
      <c r="C69">
        <v>32.437609999999999</v>
      </c>
      <c r="D69">
        <v>-83.465680000000006</v>
      </c>
      <c r="E69" s="13">
        <v>45063</v>
      </c>
      <c r="F69" t="s">
        <v>147</v>
      </c>
      <c r="H69" s="1" t="s">
        <v>25</v>
      </c>
      <c r="I69" s="12" t="s">
        <v>26</v>
      </c>
      <c r="J69" t="s">
        <v>146</v>
      </c>
      <c r="K69" s="6">
        <v>1</v>
      </c>
      <c r="L69" s="13">
        <v>45094</v>
      </c>
      <c r="M69">
        <v>0</v>
      </c>
      <c r="N69">
        <v>0</v>
      </c>
      <c r="O69">
        <v>0</v>
      </c>
      <c r="P69" t="s">
        <v>27</v>
      </c>
      <c r="Q69" s="6" t="s">
        <v>27</v>
      </c>
      <c r="R69" s="6" t="s">
        <v>27</v>
      </c>
      <c r="S69" s="2"/>
      <c r="T69" t="s">
        <v>146</v>
      </c>
      <c r="U69" s="6">
        <v>2</v>
      </c>
      <c r="V69" s="13">
        <v>45101</v>
      </c>
      <c r="W69">
        <v>5</v>
      </c>
      <c r="X69">
        <v>7</v>
      </c>
      <c r="Y69">
        <v>12</v>
      </c>
      <c r="Z69" t="s">
        <v>33</v>
      </c>
      <c r="AA69" s="6" t="s">
        <v>27</v>
      </c>
      <c r="AB69" t="s">
        <v>27</v>
      </c>
      <c r="AD69" t="s">
        <v>146</v>
      </c>
      <c r="AE69" s="1">
        <v>3</v>
      </c>
      <c r="AF69" s="13">
        <v>45108</v>
      </c>
      <c r="AG69">
        <v>32</v>
      </c>
      <c r="AH69">
        <v>19</v>
      </c>
      <c r="AI69">
        <v>51</v>
      </c>
      <c r="AJ69" t="s">
        <v>33</v>
      </c>
      <c r="AK69" s="6" t="s">
        <v>27</v>
      </c>
      <c r="AL69" t="s">
        <v>27</v>
      </c>
      <c r="AN69" t="s">
        <v>146</v>
      </c>
      <c r="AO69" s="1">
        <v>4</v>
      </c>
      <c r="AP69" s="13">
        <v>45115</v>
      </c>
      <c r="AQ69">
        <v>6</v>
      </c>
      <c r="AR69">
        <v>3</v>
      </c>
      <c r="AS69">
        <v>9</v>
      </c>
      <c r="AT69" t="s">
        <v>33</v>
      </c>
      <c r="AU69" s="6" t="s">
        <v>27</v>
      </c>
      <c r="AV69" t="s">
        <v>27</v>
      </c>
      <c r="AX69" t="s">
        <v>146</v>
      </c>
      <c r="AY69" s="1">
        <v>5</v>
      </c>
      <c r="AZ69" s="13">
        <v>45122</v>
      </c>
      <c r="BA69">
        <v>5</v>
      </c>
      <c r="BB69">
        <v>0</v>
      </c>
      <c r="BC69">
        <v>0</v>
      </c>
      <c r="BD69" t="s">
        <v>33</v>
      </c>
      <c r="BE69" s="6" t="s">
        <v>27</v>
      </c>
      <c r="BF69" t="s">
        <v>27</v>
      </c>
      <c r="BH69" t="s">
        <v>146</v>
      </c>
      <c r="BI69" s="1">
        <v>6</v>
      </c>
      <c r="BJ69" s="13">
        <v>45129</v>
      </c>
      <c r="BK69">
        <v>7</v>
      </c>
      <c r="BL69">
        <v>3</v>
      </c>
      <c r="BM69">
        <v>10</v>
      </c>
      <c r="BN69" t="s">
        <v>33</v>
      </c>
      <c r="BO69" s="6" t="s">
        <v>27</v>
      </c>
      <c r="BP69" t="s">
        <v>27</v>
      </c>
      <c r="BR69" t="s">
        <v>146</v>
      </c>
      <c r="BS69" s="1">
        <v>7</v>
      </c>
      <c r="BT69" s="13">
        <v>45136</v>
      </c>
      <c r="BU69">
        <v>2</v>
      </c>
      <c r="BV69">
        <v>4</v>
      </c>
      <c r="BW69">
        <v>6</v>
      </c>
      <c r="BX69" s="51" t="s">
        <v>33</v>
      </c>
      <c r="BY69" s="51" t="s">
        <v>27</v>
      </c>
      <c r="BZ69" s="51" t="s">
        <v>27</v>
      </c>
      <c r="CC69" s="37" t="s">
        <v>146</v>
      </c>
      <c r="CD69" s="35">
        <f t="shared" si="2"/>
        <v>88</v>
      </c>
    </row>
    <row r="70" spans="1:82" ht="14.4" x14ac:dyDescent="0.3">
      <c r="A70" t="s">
        <v>148</v>
      </c>
      <c r="B70" t="s">
        <v>84</v>
      </c>
      <c r="C70">
        <v>32.44511</v>
      </c>
      <c r="D70">
        <v>-83.471270000000004</v>
      </c>
      <c r="E70" s="13">
        <v>45062</v>
      </c>
      <c r="F70" s="13">
        <v>45084</v>
      </c>
      <c r="H70" s="1" t="s">
        <v>25</v>
      </c>
      <c r="I70" s="12" t="s">
        <v>26</v>
      </c>
      <c r="J70" t="s">
        <v>148</v>
      </c>
      <c r="K70" s="6">
        <v>1</v>
      </c>
      <c r="L70" s="13">
        <v>45091</v>
      </c>
      <c r="M70">
        <v>0</v>
      </c>
      <c r="N70">
        <v>0</v>
      </c>
      <c r="O70">
        <v>0</v>
      </c>
      <c r="P70" t="s">
        <v>27</v>
      </c>
      <c r="Q70" s="6" t="s">
        <v>27</v>
      </c>
      <c r="R70" s="6" t="s">
        <v>27</v>
      </c>
      <c r="S70" s="2"/>
      <c r="T70" t="s">
        <v>148</v>
      </c>
      <c r="U70" s="6">
        <v>2</v>
      </c>
      <c r="V70" s="13">
        <v>45098</v>
      </c>
      <c r="W70">
        <v>0</v>
      </c>
      <c r="X70">
        <v>0</v>
      </c>
      <c r="Y70">
        <v>0</v>
      </c>
      <c r="Z70" t="s">
        <v>27</v>
      </c>
      <c r="AA70" s="6" t="s">
        <v>27</v>
      </c>
      <c r="AB70" t="s">
        <v>27</v>
      </c>
      <c r="AD70" t="s">
        <v>148</v>
      </c>
      <c r="AE70" s="1">
        <v>3</v>
      </c>
      <c r="AF70" s="13">
        <v>45105</v>
      </c>
      <c r="AG70">
        <v>0</v>
      </c>
      <c r="AH70">
        <v>0</v>
      </c>
      <c r="AI70">
        <v>0</v>
      </c>
      <c r="AJ70" t="s">
        <v>27</v>
      </c>
      <c r="AK70" s="6" t="s">
        <v>27</v>
      </c>
      <c r="AL70" t="s">
        <v>27</v>
      </c>
      <c r="AN70" t="s">
        <v>148</v>
      </c>
      <c r="AO70" s="1">
        <v>4</v>
      </c>
      <c r="AP70" s="13">
        <v>45112</v>
      </c>
      <c r="AQ70">
        <v>0</v>
      </c>
      <c r="AR70">
        <v>0</v>
      </c>
      <c r="AS70">
        <v>0</v>
      </c>
      <c r="AT70" t="s">
        <v>27</v>
      </c>
      <c r="AU70" s="6" t="s">
        <v>27</v>
      </c>
      <c r="AV70" t="s">
        <v>27</v>
      </c>
      <c r="AX70" t="s">
        <v>148</v>
      </c>
      <c r="AY70" s="1">
        <v>5</v>
      </c>
      <c r="AZ70" s="13">
        <v>45120</v>
      </c>
      <c r="BA70">
        <v>0</v>
      </c>
      <c r="BB70">
        <v>0</v>
      </c>
      <c r="BC70">
        <v>0</v>
      </c>
      <c r="BD70" t="s">
        <v>27</v>
      </c>
      <c r="BE70" s="6" t="s">
        <v>27</v>
      </c>
      <c r="BF70" t="s">
        <v>27</v>
      </c>
      <c r="BG70" s="2" t="s">
        <v>32</v>
      </c>
      <c r="BH70" t="s">
        <v>148</v>
      </c>
      <c r="BI70" s="1">
        <v>6</v>
      </c>
      <c r="BJ70" s="13">
        <v>45126</v>
      </c>
      <c r="BK70">
        <v>0</v>
      </c>
      <c r="BL70">
        <v>0</v>
      </c>
      <c r="BM70">
        <v>0</v>
      </c>
      <c r="BN70" t="s">
        <v>27</v>
      </c>
      <c r="BO70" s="6" t="s">
        <v>27</v>
      </c>
      <c r="BP70" t="s">
        <v>27</v>
      </c>
      <c r="BR70" t="s">
        <v>148</v>
      </c>
      <c r="BS70" s="1">
        <v>7</v>
      </c>
      <c r="BT70" s="13">
        <v>45133</v>
      </c>
      <c r="BU70">
        <v>0</v>
      </c>
      <c r="BV70">
        <v>0</v>
      </c>
      <c r="BW70">
        <v>0</v>
      </c>
      <c r="BX70" s="51" t="s">
        <v>27</v>
      </c>
      <c r="BY70" s="51" t="s">
        <v>27</v>
      </c>
      <c r="BZ70" s="51" t="s">
        <v>27</v>
      </c>
      <c r="CC70" s="37" t="s">
        <v>148</v>
      </c>
      <c r="CD70" s="35">
        <f t="shared" si="2"/>
        <v>0</v>
      </c>
    </row>
    <row r="71" spans="1:82" ht="14.4" x14ac:dyDescent="0.3">
      <c r="A71" t="s">
        <v>149</v>
      </c>
      <c r="B71" t="s">
        <v>84</v>
      </c>
      <c r="C71">
        <v>32.446930000000002</v>
      </c>
      <c r="D71">
        <v>-83.453460000000007</v>
      </c>
      <c r="E71" s="13">
        <v>45062</v>
      </c>
      <c r="F71" s="13">
        <v>45087</v>
      </c>
      <c r="H71" s="1" t="s">
        <v>25</v>
      </c>
      <c r="I71" s="12" t="s">
        <v>26</v>
      </c>
      <c r="J71" t="s">
        <v>149</v>
      </c>
      <c r="K71" s="6">
        <v>1</v>
      </c>
      <c r="L71" s="13">
        <v>45091</v>
      </c>
      <c r="M71">
        <v>0</v>
      </c>
      <c r="N71">
        <v>0</v>
      </c>
      <c r="O71">
        <v>0</v>
      </c>
      <c r="P71" t="s">
        <v>27</v>
      </c>
      <c r="Q71" s="6" t="s">
        <v>27</v>
      </c>
      <c r="R71" s="6" t="s">
        <v>27</v>
      </c>
      <c r="S71" s="2"/>
      <c r="T71" t="s">
        <v>149</v>
      </c>
      <c r="U71" s="6">
        <v>2</v>
      </c>
      <c r="V71" s="13">
        <v>45101</v>
      </c>
      <c r="W71">
        <v>0</v>
      </c>
      <c r="X71">
        <v>0</v>
      </c>
      <c r="Y71">
        <v>0</v>
      </c>
      <c r="Z71" t="s">
        <v>27</v>
      </c>
      <c r="AA71" s="6" t="s">
        <v>27</v>
      </c>
      <c r="AB71" t="s">
        <v>27</v>
      </c>
      <c r="AD71" t="s">
        <v>149</v>
      </c>
      <c r="AE71" s="1">
        <v>3</v>
      </c>
      <c r="AF71" s="13">
        <v>45108</v>
      </c>
      <c r="AG71">
        <v>9</v>
      </c>
      <c r="AH71">
        <v>8</v>
      </c>
      <c r="AI71">
        <v>17</v>
      </c>
      <c r="AJ71" t="s">
        <v>33</v>
      </c>
      <c r="AK71" s="6" t="s">
        <v>33</v>
      </c>
      <c r="AL71" t="s">
        <v>27</v>
      </c>
      <c r="AN71" t="s">
        <v>149</v>
      </c>
      <c r="AO71" s="1">
        <v>4</v>
      </c>
      <c r="AP71" s="13">
        <v>45115</v>
      </c>
      <c r="AQ71">
        <v>0</v>
      </c>
      <c r="AR71">
        <v>0</v>
      </c>
      <c r="AS71">
        <v>0</v>
      </c>
      <c r="AT71" t="s">
        <v>27</v>
      </c>
      <c r="AU71" s="6" t="s">
        <v>27</v>
      </c>
      <c r="AV71" t="s">
        <v>27</v>
      </c>
      <c r="AX71" t="s">
        <v>149</v>
      </c>
      <c r="AY71" s="1">
        <v>5</v>
      </c>
      <c r="AZ71" s="13">
        <v>45122</v>
      </c>
      <c r="BA71">
        <v>4</v>
      </c>
      <c r="BB71">
        <v>0</v>
      </c>
      <c r="BC71">
        <v>4</v>
      </c>
      <c r="BD71" t="s">
        <v>33</v>
      </c>
      <c r="BE71" s="6" t="s">
        <v>33</v>
      </c>
      <c r="BF71" t="s">
        <v>27</v>
      </c>
      <c r="BH71" t="s">
        <v>149</v>
      </c>
      <c r="BI71" s="1">
        <v>6</v>
      </c>
      <c r="BJ71" s="13">
        <v>45129</v>
      </c>
      <c r="BK71">
        <v>2</v>
      </c>
      <c r="BL71">
        <v>1</v>
      </c>
      <c r="BM71">
        <v>3</v>
      </c>
      <c r="BN71" t="s">
        <v>33</v>
      </c>
      <c r="BO71" s="6" t="s">
        <v>33</v>
      </c>
      <c r="BP71" t="s">
        <v>27</v>
      </c>
      <c r="BR71" t="s">
        <v>149</v>
      </c>
      <c r="BS71" s="1">
        <v>7</v>
      </c>
      <c r="BT71" s="13">
        <v>45136</v>
      </c>
      <c r="BU71">
        <v>2</v>
      </c>
      <c r="BV71">
        <v>2</v>
      </c>
      <c r="BW71">
        <v>4</v>
      </c>
      <c r="BX71" s="51" t="s">
        <v>33</v>
      </c>
      <c r="BY71" s="51" t="s">
        <v>33</v>
      </c>
      <c r="BZ71" s="51" t="s">
        <v>27</v>
      </c>
      <c r="CC71" s="37" t="s">
        <v>149</v>
      </c>
      <c r="CD71" s="35">
        <f t="shared" si="2"/>
        <v>28</v>
      </c>
    </row>
    <row r="72" spans="1:82" ht="14.4" x14ac:dyDescent="0.3">
      <c r="A72" t="s">
        <v>150</v>
      </c>
      <c r="B72" t="s">
        <v>84</v>
      </c>
      <c r="C72">
        <v>32.450159999999997</v>
      </c>
      <c r="D72" s="21">
        <v>-83.479699999999994</v>
      </c>
      <c r="E72" s="13">
        <v>45062</v>
      </c>
      <c r="F72" s="13">
        <v>45084</v>
      </c>
      <c r="H72" s="1" t="s">
        <v>25</v>
      </c>
      <c r="I72" s="12" t="s">
        <v>26</v>
      </c>
      <c r="J72" t="s">
        <v>150</v>
      </c>
      <c r="K72" s="6">
        <v>1</v>
      </c>
      <c r="L72" s="13">
        <v>45091</v>
      </c>
      <c r="M72">
        <v>0</v>
      </c>
      <c r="N72">
        <v>0</v>
      </c>
      <c r="O72">
        <v>0</v>
      </c>
      <c r="P72" t="s">
        <v>27</v>
      </c>
      <c r="Q72" s="6" t="s">
        <v>27</v>
      </c>
      <c r="R72" s="6" t="s">
        <v>27</v>
      </c>
      <c r="S72" s="2"/>
      <c r="T72" t="s">
        <v>150</v>
      </c>
      <c r="U72" s="6">
        <v>2</v>
      </c>
      <c r="V72" s="13">
        <v>45098</v>
      </c>
      <c r="W72">
        <v>0</v>
      </c>
      <c r="X72">
        <v>0</v>
      </c>
      <c r="Y72">
        <v>0</v>
      </c>
      <c r="Z72" t="s">
        <v>27</v>
      </c>
      <c r="AA72" s="6" t="s">
        <v>27</v>
      </c>
      <c r="AB72" t="s">
        <v>27</v>
      </c>
      <c r="AD72" t="s">
        <v>150</v>
      </c>
      <c r="AE72" s="1">
        <v>3</v>
      </c>
      <c r="AF72" s="13">
        <v>45105</v>
      </c>
      <c r="AG72">
        <v>0</v>
      </c>
      <c r="AH72">
        <v>0</v>
      </c>
      <c r="AI72">
        <v>0</v>
      </c>
      <c r="AJ72" t="s">
        <v>27</v>
      </c>
      <c r="AK72" s="6" t="s">
        <v>27</v>
      </c>
      <c r="AL72" t="s">
        <v>27</v>
      </c>
      <c r="AN72" t="s">
        <v>150</v>
      </c>
      <c r="AO72" s="1">
        <v>4</v>
      </c>
      <c r="AP72" s="13">
        <v>45112</v>
      </c>
      <c r="AQ72">
        <v>6</v>
      </c>
      <c r="AR72">
        <v>6</v>
      </c>
      <c r="AS72">
        <v>12</v>
      </c>
      <c r="AT72" t="s">
        <v>33</v>
      </c>
      <c r="AU72" s="6" t="s">
        <v>33</v>
      </c>
      <c r="AV72" t="s">
        <v>27</v>
      </c>
      <c r="AX72" t="s">
        <v>150</v>
      </c>
      <c r="AY72" s="1">
        <v>5</v>
      </c>
      <c r="AZ72" s="13">
        <v>45120</v>
      </c>
      <c r="BA72">
        <v>0</v>
      </c>
      <c r="BB72">
        <v>0</v>
      </c>
      <c r="BC72">
        <v>0</v>
      </c>
      <c r="BD72" t="s">
        <v>27</v>
      </c>
      <c r="BE72" s="6" t="s">
        <v>27</v>
      </c>
      <c r="BF72" t="s">
        <v>27</v>
      </c>
      <c r="BG72" s="2" t="s">
        <v>32</v>
      </c>
      <c r="BH72" t="s">
        <v>150</v>
      </c>
      <c r="BI72" s="1">
        <v>6</v>
      </c>
      <c r="BJ72" s="13">
        <v>45126</v>
      </c>
      <c r="BK72">
        <v>0</v>
      </c>
      <c r="BL72">
        <v>3</v>
      </c>
      <c r="BM72">
        <v>3</v>
      </c>
      <c r="BN72" t="s">
        <v>33</v>
      </c>
      <c r="BO72" s="6" t="s">
        <v>33</v>
      </c>
      <c r="BP72" t="s">
        <v>27</v>
      </c>
      <c r="BR72" t="s">
        <v>150</v>
      </c>
      <c r="BS72" s="1">
        <v>7</v>
      </c>
      <c r="BT72" s="13">
        <v>45133</v>
      </c>
      <c r="BU72">
        <v>4</v>
      </c>
      <c r="BV72">
        <v>3</v>
      </c>
      <c r="BW72">
        <v>7</v>
      </c>
      <c r="BX72" s="51" t="s">
        <v>33</v>
      </c>
      <c r="BY72" s="51" t="s">
        <v>33</v>
      </c>
      <c r="BZ72" s="51" t="s">
        <v>27</v>
      </c>
      <c r="CC72" s="37" t="s">
        <v>150</v>
      </c>
      <c r="CD72" s="35">
        <f t="shared" si="2"/>
        <v>22</v>
      </c>
    </row>
    <row r="73" spans="1:82" ht="14.4" x14ac:dyDescent="0.3">
      <c r="A73" t="s">
        <v>151</v>
      </c>
      <c r="B73" t="s">
        <v>84</v>
      </c>
      <c r="C73">
        <v>32.45984</v>
      </c>
      <c r="D73">
        <v>-83.487440000000007</v>
      </c>
      <c r="E73" s="13">
        <v>45062</v>
      </c>
      <c r="F73" s="13">
        <v>45084</v>
      </c>
      <c r="H73" s="1" t="s">
        <v>25</v>
      </c>
      <c r="I73" s="12" t="s">
        <v>26</v>
      </c>
      <c r="J73" t="s">
        <v>151</v>
      </c>
      <c r="K73" s="6">
        <v>1</v>
      </c>
      <c r="L73" s="13">
        <v>45091</v>
      </c>
      <c r="M73">
        <v>0</v>
      </c>
      <c r="N73">
        <v>0</v>
      </c>
      <c r="O73">
        <v>0</v>
      </c>
      <c r="P73" t="s">
        <v>27</v>
      </c>
      <c r="Q73" s="6" t="s">
        <v>27</v>
      </c>
      <c r="R73" s="6" t="s">
        <v>27</v>
      </c>
      <c r="S73" s="2"/>
      <c r="T73" t="s">
        <v>151</v>
      </c>
      <c r="U73" s="6">
        <v>2</v>
      </c>
      <c r="V73" s="13">
        <v>45098</v>
      </c>
      <c r="W73">
        <v>0</v>
      </c>
      <c r="X73">
        <v>0</v>
      </c>
      <c r="Y73">
        <v>0</v>
      </c>
      <c r="Z73" t="s">
        <v>27</v>
      </c>
      <c r="AA73" s="6" t="s">
        <v>27</v>
      </c>
      <c r="AB73" t="s">
        <v>27</v>
      </c>
      <c r="AD73" t="s">
        <v>151</v>
      </c>
      <c r="AE73" s="1">
        <v>3</v>
      </c>
      <c r="AF73" s="13">
        <v>45105</v>
      </c>
      <c r="AG73">
        <v>0</v>
      </c>
      <c r="AH73">
        <v>2</v>
      </c>
      <c r="AI73">
        <v>2</v>
      </c>
      <c r="AJ73" t="s">
        <v>45</v>
      </c>
      <c r="AK73" s="6" t="s">
        <v>27</v>
      </c>
      <c r="AL73" t="s">
        <v>45</v>
      </c>
      <c r="AN73" t="s">
        <v>151</v>
      </c>
      <c r="AO73" s="1">
        <v>4</v>
      </c>
      <c r="AP73" s="13">
        <v>45112</v>
      </c>
      <c r="AQ73">
        <v>0</v>
      </c>
      <c r="AR73">
        <v>0</v>
      </c>
      <c r="AS73">
        <v>0</v>
      </c>
      <c r="AT73" t="s">
        <v>27</v>
      </c>
      <c r="AU73" s="6" t="s">
        <v>27</v>
      </c>
      <c r="AV73" t="s">
        <v>27</v>
      </c>
      <c r="AX73" t="s">
        <v>151</v>
      </c>
      <c r="AY73" s="1">
        <v>5</v>
      </c>
      <c r="AZ73" s="13">
        <v>45120</v>
      </c>
      <c r="BA73">
        <v>0</v>
      </c>
      <c r="BB73">
        <v>0</v>
      </c>
      <c r="BC73">
        <v>0</v>
      </c>
      <c r="BD73" t="s">
        <v>27</v>
      </c>
      <c r="BE73" s="6" t="s">
        <v>27</v>
      </c>
      <c r="BF73" t="s">
        <v>27</v>
      </c>
      <c r="BG73" s="2" t="s">
        <v>32</v>
      </c>
      <c r="BH73" t="s">
        <v>151</v>
      </c>
      <c r="BI73" s="1">
        <v>6</v>
      </c>
      <c r="BJ73" s="13">
        <v>45126</v>
      </c>
      <c r="BK73">
        <v>0</v>
      </c>
      <c r="BL73">
        <v>0</v>
      </c>
      <c r="BM73">
        <v>0</v>
      </c>
      <c r="BN73" t="s">
        <v>27</v>
      </c>
      <c r="BO73" s="6" t="s">
        <v>27</v>
      </c>
      <c r="BP73" t="s">
        <v>27</v>
      </c>
      <c r="BR73" t="s">
        <v>151</v>
      </c>
      <c r="BS73" s="1">
        <v>7</v>
      </c>
      <c r="BT73" s="13">
        <v>45133</v>
      </c>
      <c r="BU73">
        <v>0</v>
      </c>
      <c r="BV73">
        <v>0</v>
      </c>
      <c r="BW73">
        <v>0</v>
      </c>
      <c r="BX73" s="51" t="s">
        <v>27</v>
      </c>
      <c r="BY73" s="51" t="s">
        <v>27</v>
      </c>
      <c r="BZ73" s="51" t="s">
        <v>27</v>
      </c>
      <c r="CC73" s="37" t="s">
        <v>151</v>
      </c>
      <c r="CD73" s="35">
        <f t="shared" si="2"/>
        <v>2</v>
      </c>
    </row>
    <row r="74" spans="1:82" ht="14.4" x14ac:dyDescent="0.3">
      <c r="A74" t="s">
        <v>152</v>
      </c>
      <c r="B74" t="s">
        <v>84</v>
      </c>
      <c r="C74">
        <v>32.459330000000001</v>
      </c>
      <c r="D74">
        <v>-83.470770000000002</v>
      </c>
      <c r="E74" s="13">
        <v>45062</v>
      </c>
      <c r="F74" s="13">
        <v>45084</v>
      </c>
      <c r="H74" s="1" t="s">
        <v>25</v>
      </c>
      <c r="I74" s="12" t="s">
        <v>26</v>
      </c>
      <c r="J74" t="s">
        <v>152</v>
      </c>
      <c r="K74" s="6">
        <v>1</v>
      </c>
      <c r="L74" s="13">
        <v>45091</v>
      </c>
      <c r="M74">
        <v>0</v>
      </c>
      <c r="N74">
        <v>0</v>
      </c>
      <c r="O74">
        <v>0</v>
      </c>
      <c r="P74" t="s">
        <v>27</v>
      </c>
      <c r="Q74" s="6" t="s">
        <v>27</v>
      </c>
      <c r="R74" s="6" t="s">
        <v>27</v>
      </c>
      <c r="S74" s="2"/>
      <c r="T74" t="s">
        <v>152</v>
      </c>
      <c r="U74" s="6">
        <v>2</v>
      </c>
      <c r="V74" s="13">
        <v>45098</v>
      </c>
      <c r="W74">
        <v>0</v>
      </c>
      <c r="X74">
        <v>0</v>
      </c>
      <c r="Y74">
        <v>0</v>
      </c>
      <c r="Z74" t="s">
        <v>27</v>
      </c>
      <c r="AA74" s="6" t="s">
        <v>27</v>
      </c>
      <c r="AB74" t="s">
        <v>27</v>
      </c>
      <c r="AD74" t="s">
        <v>152</v>
      </c>
      <c r="AE74" s="1">
        <v>3</v>
      </c>
      <c r="AF74" s="13">
        <v>45105</v>
      </c>
      <c r="AG74">
        <v>0</v>
      </c>
      <c r="AH74">
        <v>0</v>
      </c>
      <c r="AI74">
        <v>0</v>
      </c>
      <c r="AJ74" t="s">
        <v>27</v>
      </c>
      <c r="AK74" s="6" t="s">
        <v>27</v>
      </c>
      <c r="AL74" t="s">
        <v>27</v>
      </c>
      <c r="AN74" t="s">
        <v>152</v>
      </c>
      <c r="AO74" s="1">
        <v>4</v>
      </c>
      <c r="AP74" s="13">
        <v>45112</v>
      </c>
      <c r="AQ74">
        <v>0</v>
      </c>
      <c r="AR74">
        <v>0</v>
      </c>
      <c r="AS74">
        <v>0</v>
      </c>
      <c r="AT74" t="s">
        <v>27</v>
      </c>
      <c r="AU74" s="6" t="s">
        <v>27</v>
      </c>
      <c r="AV74" t="s">
        <v>27</v>
      </c>
      <c r="AX74" t="s">
        <v>152</v>
      </c>
      <c r="AY74" s="1">
        <v>5</v>
      </c>
      <c r="AZ74" s="13">
        <v>45120</v>
      </c>
      <c r="BA74">
        <v>0</v>
      </c>
      <c r="BB74">
        <v>1</v>
      </c>
      <c r="BC74">
        <v>1</v>
      </c>
      <c r="BD74" t="s">
        <v>33</v>
      </c>
      <c r="BE74" s="6" t="s">
        <v>33</v>
      </c>
      <c r="BF74" t="s">
        <v>27</v>
      </c>
      <c r="BG74" s="2" t="s">
        <v>32</v>
      </c>
      <c r="BH74" t="s">
        <v>152</v>
      </c>
      <c r="BI74" s="1">
        <v>6</v>
      </c>
      <c r="BJ74" s="13">
        <v>45126</v>
      </c>
      <c r="BK74">
        <v>0</v>
      </c>
      <c r="BL74">
        <v>0</v>
      </c>
      <c r="BM74">
        <v>0</v>
      </c>
      <c r="BN74" t="s">
        <v>27</v>
      </c>
      <c r="BO74" s="6" t="s">
        <v>27</v>
      </c>
      <c r="BP74" t="s">
        <v>27</v>
      </c>
      <c r="BR74" t="s">
        <v>152</v>
      </c>
      <c r="BS74" s="1">
        <v>7</v>
      </c>
      <c r="BT74" s="13">
        <v>45133</v>
      </c>
      <c r="BU74">
        <v>5</v>
      </c>
      <c r="BV74">
        <v>1</v>
      </c>
      <c r="BW74">
        <v>6</v>
      </c>
      <c r="BX74" s="51" t="s">
        <v>33</v>
      </c>
      <c r="BY74" s="51" t="s">
        <v>33</v>
      </c>
      <c r="BZ74" s="51" t="s">
        <v>27</v>
      </c>
      <c r="CC74" s="37" t="s">
        <v>152</v>
      </c>
      <c r="CD74" s="35">
        <f t="shared" si="2"/>
        <v>7</v>
      </c>
    </row>
    <row r="75" spans="1:82" ht="14.4" x14ac:dyDescent="0.3">
      <c r="A75" t="s">
        <v>153</v>
      </c>
      <c r="B75" t="s">
        <v>84</v>
      </c>
      <c r="C75">
        <v>32.45467</v>
      </c>
      <c r="D75" s="21">
        <v>-83.450199999999995</v>
      </c>
      <c r="E75" s="13">
        <v>45084</v>
      </c>
      <c r="F75" s="13">
        <v>45084</v>
      </c>
      <c r="H75" s="1" t="s">
        <v>25</v>
      </c>
      <c r="I75" s="12" t="s">
        <v>26</v>
      </c>
      <c r="J75" t="s">
        <v>153</v>
      </c>
      <c r="K75" s="6">
        <v>1</v>
      </c>
      <c r="L75" s="13">
        <v>45091</v>
      </c>
      <c r="M75">
        <v>0</v>
      </c>
      <c r="N75">
        <v>0</v>
      </c>
      <c r="O75">
        <v>0</v>
      </c>
      <c r="P75" t="s">
        <v>27</v>
      </c>
      <c r="Q75" s="6" t="s">
        <v>27</v>
      </c>
      <c r="R75" s="6" t="s">
        <v>27</v>
      </c>
      <c r="S75" s="2"/>
      <c r="T75" t="s">
        <v>153</v>
      </c>
      <c r="U75" s="6">
        <v>2</v>
      </c>
      <c r="V75" s="13">
        <v>45098</v>
      </c>
      <c r="W75">
        <v>0</v>
      </c>
      <c r="X75">
        <v>0</v>
      </c>
      <c r="Y75">
        <v>0</v>
      </c>
      <c r="Z75" t="s">
        <v>27</v>
      </c>
      <c r="AA75" s="6" t="s">
        <v>27</v>
      </c>
      <c r="AB75" t="s">
        <v>27</v>
      </c>
      <c r="AD75" t="s">
        <v>153</v>
      </c>
      <c r="AE75" s="1">
        <v>3</v>
      </c>
      <c r="AF75" s="13">
        <v>45105</v>
      </c>
      <c r="AG75">
        <v>0</v>
      </c>
      <c r="AH75">
        <v>1</v>
      </c>
      <c r="AI75">
        <v>1</v>
      </c>
      <c r="AJ75" t="s">
        <v>45</v>
      </c>
      <c r="AK75" s="6" t="s">
        <v>27</v>
      </c>
      <c r="AL75" t="s">
        <v>45</v>
      </c>
      <c r="AN75" t="s">
        <v>153</v>
      </c>
      <c r="AO75" s="1">
        <v>4</v>
      </c>
      <c r="AP75" s="13">
        <v>45112</v>
      </c>
      <c r="AQ75">
        <v>0</v>
      </c>
      <c r="AR75">
        <v>0</v>
      </c>
      <c r="AS75">
        <v>0</v>
      </c>
      <c r="AT75" t="s">
        <v>27</v>
      </c>
      <c r="AU75" s="6" t="s">
        <v>27</v>
      </c>
      <c r="AV75" t="s">
        <v>27</v>
      </c>
      <c r="AX75" t="s">
        <v>153</v>
      </c>
      <c r="AY75" s="1">
        <v>5</v>
      </c>
      <c r="AZ75" s="13">
        <v>45120</v>
      </c>
      <c r="BA75">
        <v>0</v>
      </c>
      <c r="BB75">
        <v>0</v>
      </c>
      <c r="BC75">
        <v>0</v>
      </c>
      <c r="BD75" t="s">
        <v>27</v>
      </c>
      <c r="BE75" s="6" t="s">
        <v>27</v>
      </c>
      <c r="BF75" t="s">
        <v>27</v>
      </c>
      <c r="BG75" s="2" t="s">
        <v>32</v>
      </c>
      <c r="BH75" t="s">
        <v>153</v>
      </c>
      <c r="BI75" s="1">
        <v>6</v>
      </c>
      <c r="BJ75" s="13">
        <v>45126</v>
      </c>
      <c r="BK75">
        <v>0</v>
      </c>
      <c r="BL75">
        <v>0</v>
      </c>
      <c r="BM75">
        <v>0</v>
      </c>
      <c r="BN75" t="s">
        <v>45</v>
      </c>
      <c r="BO75" s="6" t="s">
        <v>33</v>
      </c>
      <c r="BP75" t="s">
        <v>45</v>
      </c>
      <c r="BR75" t="s">
        <v>153</v>
      </c>
      <c r="BS75" s="1">
        <v>7</v>
      </c>
      <c r="BT75" s="13">
        <v>45133</v>
      </c>
      <c r="BU75">
        <v>0</v>
      </c>
      <c r="BV75">
        <v>0</v>
      </c>
      <c r="BW75">
        <v>0</v>
      </c>
      <c r="BX75" s="51" t="s">
        <v>27</v>
      </c>
      <c r="BY75" s="51" t="s">
        <v>27</v>
      </c>
      <c r="BZ75" s="51" t="s">
        <v>27</v>
      </c>
      <c r="CC75" s="37" t="s">
        <v>153</v>
      </c>
      <c r="CD75" s="35">
        <f t="shared" si="2"/>
        <v>1</v>
      </c>
    </row>
    <row r="76" spans="1:82" ht="14.4" x14ac:dyDescent="0.3">
      <c r="A76" t="s">
        <v>154</v>
      </c>
      <c r="B76" t="s">
        <v>84</v>
      </c>
      <c r="C76">
        <v>32.474739999999997</v>
      </c>
      <c r="D76">
        <v>-83.454430000000002</v>
      </c>
      <c r="E76" s="13">
        <v>45074</v>
      </c>
      <c r="F76" s="13">
        <v>45084</v>
      </c>
      <c r="H76" s="1" t="s">
        <v>25</v>
      </c>
      <c r="I76" s="12" t="s">
        <v>26</v>
      </c>
      <c r="J76" t="s">
        <v>154</v>
      </c>
      <c r="K76" s="6">
        <v>1</v>
      </c>
      <c r="L76" s="13">
        <v>45091</v>
      </c>
      <c r="M76">
        <v>0</v>
      </c>
      <c r="N76">
        <v>0</v>
      </c>
      <c r="O76">
        <v>0</v>
      </c>
      <c r="P76" t="s">
        <v>27</v>
      </c>
      <c r="Q76" s="6" t="s">
        <v>27</v>
      </c>
      <c r="R76" s="6" t="s">
        <v>27</v>
      </c>
      <c r="S76" s="2"/>
      <c r="T76" t="s">
        <v>154</v>
      </c>
      <c r="U76" s="6">
        <v>2</v>
      </c>
      <c r="V76" s="13">
        <v>45098</v>
      </c>
      <c r="W76">
        <v>0</v>
      </c>
      <c r="X76">
        <v>0</v>
      </c>
      <c r="Y76">
        <v>0</v>
      </c>
      <c r="Z76" t="s">
        <v>27</v>
      </c>
      <c r="AA76" s="6" t="s">
        <v>27</v>
      </c>
      <c r="AB76" t="s">
        <v>27</v>
      </c>
      <c r="AD76" t="s">
        <v>154</v>
      </c>
      <c r="AE76" s="1">
        <v>3</v>
      </c>
      <c r="AF76" s="13">
        <v>45105</v>
      </c>
      <c r="AG76">
        <v>0</v>
      </c>
      <c r="AH76">
        <v>0</v>
      </c>
      <c r="AI76">
        <v>0</v>
      </c>
      <c r="AJ76" t="s">
        <v>27</v>
      </c>
      <c r="AK76" s="6" t="s">
        <v>27</v>
      </c>
      <c r="AL76" t="s">
        <v>27</v>
      </c>
      <c r="AN76" t="s">
        <v>154</v>
      </c>
      <c r="AO76" s="1">
        <v>4</v>
      </c>
      <c r="AP76" s="13">
        <v>45112</v>
      </c>
      <c r="AQ76">
        <v>0</v>
      </c>
      <c r="AR76">
        <v>0</v>
      </c>
      <c r="AS76">
        <v>0</v>
      </c>
      <c r="AT76" t="s">
        <v>27</v>
      </c>
      <c r="AU76" s="6" t="s">
        <v>27</v>
      </c>
      <c r="AV76" t="s">
        <v>27</v>
      </c>
      <c r="AX76" t="s">
        <v>154</v>
      </c>
      <c r="AY76" s="1">
        <v>5</v>
      </c>
      <c r="AZ76" s="13">
        <v>45120</v>
      </c>
      <c r="BA76">
        <v>0</v>
      </c>
      <c r="BB76">
        <v>0</v>
      </c>
      <c r="BC76">
        <v>0</v>
      </c>
      <c r="BD76" t="s">
        <v>45</v>
      </c>
      <c r="BE76" s="6" t="s">
        <v>33</v>
      </c>
      <c r="BF76" t="s">
        <v>45</v>
      </c>
      <c r="BG76" s="2" t="s">
        <v>32</v>
      </c>
      <c r="BH76" t="s">
        <v>154</v>
      </c>
      <c r="BI76" s="1">
        <v>6</v>
      </c>
      <c r="BJ76" s="13">
        <v>45126</v>
      </c>
      <c r="BK76">
        <v>3</v>
      </c>
      <c r="BL76">
        <v>2</v>
      </c>
      <c r="BM76">
        <v>5</v>
      </c>
      <c r="BN76" t="s">
        <v>33</v>
      </c>
      <c r="BO76" s="6" t="s">
        <v>33</v>
      </c>
      <c r="BP76" t="s">
        <v>27</v>
      </c>
      <c r="BR76" t="s">
        <v>154</v>
      </c>
      <c r="BS76" s="1">
        <v>7</v>
      </c>
      <c r="BT76" s="13">
        <v>45133</v>
      </c>
      <c r="BU76">
        <v>0</v>
      </c>
      <c r="BV76">
        <v>1</v>
      </c>
      <c r="BW76">
        <v>1</v>
      </c>
      <c r="BX76" s="51" t="s">
        <v>33</v>
      </c>
      <c r="BY76" s="51" t="s">
        <v>33</v>
      </c>
      <c r="BZ76" s="51" t="s">
        <v>27</v>
      </c>
      <c r="CC76" s="37" t="s">
        <v>154</v>
      </c>
      <c r="CD76" s="35">
        <f t="shared" si="2"/>
        <v>6</v>
      </c>
    </row>
    <row r="77" spans="1:82" ht="14.4" x14ac:dyDescent="0.3">
      <c r="A77" t="s">
        <v>155</v>
      </c>
      <c r="B77" t="s">
        <v>84</v>
      </c>
      <c r="C77">
        <v>32.473010000000002</v>
      </c>
      <c r="D77">
        <v>-83.437389999999994</v>
      </c>
      <c r="E77" s="13">
        <v>45074</v>
      </c>
      <c r="F77" s="13">
        <v>45084</v>
      </c>
      <c r="H77" s="1" t="s">
        <v>25</v>
      </c>
      <c r="I77" s="12" t="s">
        <v>26</v>
      </c>
      <c r="J77" t="s">
        <v>155</v>
      </c>
      <c r="K77" s="6">
        <v>1</v>
      </c>
      <c r="L77" s="13">
        <v>45091</v>
      </c>
      <c r="M77">
        <v>0</v>
      </c>
      <c r="N77">
        <v>0</v>
      </c>
      <c r="O77">
        <v>0</v>
      </c>
      <c r="P77" t="s">
        <v>27</v>
      </c>
      <c r="Q77" s="6" t="s">
        <v>27</v>
      </c>
      <c r="R77" s="6" t="s">
        <v>27</v>
      </c>
      <c r="S77" s="2"/>
      <c r="T77" t="s">
        <v>155</v>
      </c>
      <c r="U77" s="6">
        <v>2</v>
      </c>
      <c r="V77" s="13">
        <v>45098</v>
      </c>
      <c r="W77">
        <v>2</v>
      </c>
      <c r="X77">
        <v>6</v>
      </c>
      <c r="Y77">
        <v>8</v>
      </c>
      <c r="Z77" t="s">
        <v>33</v>
      </c>
      <c r="AA77" s="6" t="s">
        <v>27</v>
      </c>
      <c r="AB77" t="s">
        <v>27</v>
      </c>
      <c r="AD77" t="s">
        <v>155</v>
      </c>
      <c r="AE77" s="1">
        <v>3</v>
      </c>
      <c r="AF77" s="13">
        <v>45105</v>
      </c>
      <c r="AG77">
        <v>0</v>
      </c>
      <c r="AH77">
        <v>1</v>
      </c>
      <c r="AI77">
        <v>1</v>
      </c>
      <c r="AJ77" t="s">
        <v>45</v>
      </c>
      <c r="AK77" s="6" t="s">
        <v>27</v>
      </c>
      <c r="AL77" t="s">
        <v>45</v>
      </c>
      <c r="AN77" t="s">
        <v>155</v>
      </c>
      <c r="AO77" s="1">
        <v>4</v>
      </c>
      <c r="AP77" s="13">
        <v>45112</v>
      </c>
      <c r="AQ77">
        <v>0</v>
      </c>
      <c r="AR77">
        <v>0</v>
      </c>
      <c r="AS77">
        <v>0</v>
      </c>
      <c r="AT77" t="s">
        <v>27</v>
      </c>
      <c r="AU77" s="6" t="s">
        <v>27</v>
      </c>
      <c r="AV77" t="s">
        <v>27</v>
      </c>
      <c r="AX77" t="s">
        <v>155</v>
      </c>
      <c r="AY77" s="1">
        <v>5</v>
      </c>
      <c r="AZ77" s="13">
        <v>45120</v>
      </c>
      <c r="BA77">
        <v>0</v>
      </c>
      <c r="BB77">
        <v>0</v>
      </c>
      <c r="BC77">
        <v>0</v>
      </c>
      <c r="BD77" t="s">
        <v>27</v>
      </c>
      <c r="BE77" s="6" t="s">
        <v>27</v>
      </c>
      <c r="BF77" t="s">
        <v>27</v>
      </c>
      <c r="BG77" s="2" t="s">
        <v>32</v>
      </c>
      <c r="BH77" t="s">
        <v>155</v>
      </c>
      <c r="BI77" s="1">
        <v>6</v>
      </c>
      <c r="BJ77" s="13">
        <v>45126</v>
      </c>
      <c r="BK77">
        <v>1</v>
      </c>
      <c r="BL77">
        <v>3</v>
      </c>
      <c r="BM77">
        <v>4</v>
      </c>
      <c r="BN77" t="s">
        <v>33</v>
      </c>
      <c r="BO77" s="6" t="s">
        <v>33</v>
      </c>
      <c r="BP77" t="s">
        <v>33</v>
      </c>
      <c r="BQ77" s="2" t="s">
        <v>143</v>
      </c>
      <c r="BR77" t="s">
        <v>155</v>
      </c>
      <c r="BS77" s="1">
        <v>7</v>
      </c>
      <c r="BT77" s="13">
        <v>45133</v>
      </c>
      <c r="BU77">
        <v>0</v>
      </c>
      <c r="BV77">
        <v>0</v>
      </c>
      <c r="BW77">
        <v>0</v>
      </c>
      <c r="BX77" s="51" t="s">
        <v>27</v>
      </c>
      <c r="BY77" s="51" t="s">
        <v>27</v>
      </c>
      <c r="BZ77" s="51" t="s">
        <v>27</v>
      </c>
      <c r="CC77" s="37" t="s">
        <v>155</v>
      </c>
      <c r="CD77" s="35">
        <f t="shared" si="2"/>
        <v>13</v>
      </c>
    </row>
    <row r="78" spans="1:82" ht="14.4" x14ac:dyDescent="0.3">
      <c r="A78" t="s">
        <v>156</v>
      </c>
      <c r="B78" t="s">
        <v>157</v>
      </c>
      <c r="C78">
        <v>32.481670000000001</v>
      </c>
      <c r="D78">
        <v>-83.464529999999996</v>
      </c>
      <c r="E78" s="13">
        <v>45073</v>
      </c>
      <c r="F78" s="13">
        <v>45086</v>
      </c>
      <c r="H78" s="1" t="s">
        <v>25</v>
      </c>
      <c r="I78" s="12" t="s">
        <v>26</v>
      </c>
      <c r="J78" t="s">
        <v>156</v>
      </c>
      <c r="K78" s="6">
        <v>1</v>
      </c>
      <c r="L78" s="13">
        <v>45093</v>
      </c>
      <c r="M78">
        <v>0</v>
      </c>
      <c r="N78">
        <v>0</v>
      </c>
      <c r="O78">
        <v>0</v>
      </c>
      <c r="P78" t="s">
        <v>27</v>
      </c>
      <c r="Q78" s="6" t="s">
        <v>27</v>
      </c>
      <c r="R78" s="6" t="s">
        <v>27</v>
      </c>
      <c r="S78" s="2"/>
      <c r="T78" t="s">
        <v>156</v>
      </c>
      <c r="U78" s="6">
        <v>2</v>
      </c>
      <c r="V78" s="13">
        <v>45099</v>
      </c>
      <c r="W78">
        <v>0</v>
      </c>
      <c r="X78">
        <v>0</v>
      </c>
      <c r="Y78">
        <v>0</v>
      </c>
      <c r="Z78" t="s">
        <v>27</v>
      </c>
      <c r="AA78" s="6" t="s">
        <v>27</v>
      </c>
      <c r="AB78" t="s">
        <v>27</v>
      </c>
      <c r="AC78" s="2" t="s">
        <v>30</v>
      </c>
      <c r="AD78" t="s">
        <v>156</v>
      </c>
      <c r="AE78" s="1">
        <v>3</v>
      </c>
      <c r="AF78" s="13">
        <v>45107</v>
      </c>
      <c r="AG78">
        <v>0</v>
      </c>
      <c r="AH78">
        <v>0</v>
      </c>
      <c r="AI78">
        <v>0</v>
      </c>
      <c r="AJ78" t="s">
        <v>45</v>
      </c>
      <c r="AK78" s="6" t="s">
        <v>33</v>
      </c>
      <c r="AL78" t="s">
        <v>45</v>
      </c>
      <c r="AN78" t="s">
        <v>156</v>
      </c>
      <c r="AO78" s="1">
        <v>4</v>
      </c>
      <c r="AP78" s="13">
        <v>45114</v>
      </c>
      <c r="AQ78">
        <v>4</v>
      </c>
      <c r="AR78">
        <v>0</v>
      </c>
      <c r="AS78">
        <v>4</v>
      </c>
      <c r="AT78" t="s">
        <v>33</v>
      </c>
      <c r="AU78" s="6" t="s">
        <v>33</v>
      </c>
      <c r="AV78" t="s">
        <v>27</v>
      </c>
      <c r="AX78" t="s">
        <v>156</v>
      </c>
      <c r="AY78" s="1">
        <v>5</v>
      </c>
      <c r="AZ78" s="13">
        <v>45121</v>
      </c>
      <c r="BA78">
        <v>3</v>
      </c>
      <c r="BB78">
        <v>0</v>
      </c>
      <c r="BC78">
        <v>3</v>
      </c>
      <c r="BD78" t="s">
        <v>33</v>
      </c>
      <c r="BE78" s="6" t="s">
        <v>33</v>
      </c>
      <c r="BF78" t="s">
        <v>27</v>
      </c>
      <c r="BH78" t="s">
        <v>156</v>
      </c>
      <c r="BI78" s="1">
        <v>6</v>
      </c>
      <c r="BJ78" s="13">
        <v>45127</v>
      </c>
      <c r="BK78">
        <v>0</v>
      </c>
      <c r="BL78">
        <v>0</v>
      </c>
      <c r="BM78">
        <v>0</v>
      </c>
      <c r="BN78" t="s">
        <v>27</v>
      </c>
      <c r="BO78" s="6" t="s">
        <v>27</v>
      </c>
      <c r="BP78" t="s">
        <v>27</v>
      </c>
      <c r="BR78" t="s">
        <v>156</v>
      </c>
      <c r="BS78" s="1">
        <v>7</v>
      </c>
      <c r="BT78" s="13">
        <v>45134</v>
      </c>
      <c r="BU78">
        <v>0</v>
      </c>
      <c r="BV78">
        <v>0</v>
      </c>
      <c r="BW78">
        <v>0</v>
      </c>
      <c r="BX78" s="51" t="s">
        <v>45</v>
      </c>
      <c r="BY78" s="51" t="s">
        <v>33</v>
      </c>
      <c r="BZ78" s="51" t="s">
        <v>45</v>
      </c>
      <c r="CC78" s="37" t="s">
        <v>156</v>
      </c>
      <c r="CD78" s="35">
        <f t="shared" si="2"/>
        <v>7</v>
      </c>
    </row>
    <row r="79" spans="1:82" ht="14.4" x14ac:dyDescent="0.3">
      <c r="A79" t="s">
        <v>158</v>
      </c>
      <c r="B79" t="s">
        <v>157</v>
      </c>
      <c r="C79">
        <v>32.487430000000003</v>
      </c>
      <c r="D79">
        <v>-83.453779999999995</v>
      </c>
      <c r="E79" s="13">
        <v>45073</v>
      </c>
      <c r="F79" s="13">
        <v>45086</v>
      </c>
      <c r="H79" s="1" t="s">
        <v>25</v>
      </c>
      <c r="I79" s="12" t="s">
        <v>26</v>
      </c>
      <c r="J79" t="s">
        <v>158</v>
      </c>
      <c r="K79" s="6">
        <v>1</v>
      </c>
      <c r="L79" s="13">
        <v>45093</v>
      </c>
      <c r="M79">
        <v>0</v>
      </c>
      <c r="N79">
        <v>0</v>
      </c>
      <c r="O79">
        <v>0</v>
      </c>
      <c r="P79" t="s">
        <v>27</v>
      </c>
      <c r="Q79" s="6" t="s">
        <v>27</v>
      </c>
      <c r="R79" s="6" t="s">
        <v>27</v>
      </c>
      <c r="S79" s="2"/>
      <c r="T79" t="s">
        <v>158</v>
      </c>
      <c r="U79" s="6">
        <v>2</v>
      </c>
      <c r="V79" s="13">
        <v>45099</v>
      </c>
      <c r="W79">
        <v>8</v>
      </c>
      <c r="X79">
        <v>0</v>
      </c>
      <c r="Y79">
        <v>8</v>
      </c>
      <c r="Z79" t="s">
        <v>33</v>
      </c>
      <c r="AA79" s="6" t="s">
        <v>27</v>
      </c>
      <c r="AB79" t="s">
        <v>27</v>
      </c>
      <c r="AC79" s="2" t="s">
        <v>30</v>
      </c>
      <c r="AD79" t="s">
        <v>158</v>
      </c>
      <c r="AE79" s="1">
        <v>3</v>
      </c>
      <c r="AF79" s="13">
        <v>45107</v>
      </c>
      <c r="AG79">
        <v>6</v>
      </c>
      <c r="AH79">
        <v>6</v>
      </c>
      <c r="AI79">
        <v>12</v>
      </c>
      <c r="AJ79" t="s">
        <v>33</v>
      </c>
      <c r="AK79" s="6" t="s">
        <v>27</v>
      </c>
      <c r="AL79" t="s">
        <v>27</v>
      </c>
      <c r="AN79" t="s">
        <v>158</v>
      </c>
      <c r="AO79" s="1">
        <v>4</v>
      </c>
      <c r="AP79" s="13">
        <v>45114</v>
      </c>
      <c r="AQ79">
        <v>0</v>
      </c>
      <c r="AR79">
        <v>0</v>
      </c>
      <c r="AS79">
        <v>0</v>
      </c>
      <c r="AT79" t="s">
        <v>27</v>
      </c>
      <c r="AU79" s="6" t="s">
        <v>27</v>
      </c>
      <c r="AV79" t="s">
        <v>27</v>
      </c>
      <c r="AX79" t="s">
        <v>158</v>
      </c>
      <c r="AY79" s="1">
        <v>5</v>
      </c>
      <c r="AZ79" s="13">
        <v>45121</v>
      </c>
      <c r="BA79">
        <v>6</v>
      </c>
      <c r="BB79">
        <v>4</v>
      </c>
      <c r="BC79">
        <v>10</v>
      </c>
      <c r="BD79" t="s">
        <v>33</v>
      </c>
      <c r="BE79" s="6" t="s">
        <v>33</v>
      </c>
      <c r="BF79" t="s">
        <v>27</v>
      </c>
      <c r="BH79" t="s">
        <v>158</v>
      </c>
      <c r="BI79" s="1">
        <v>6</v>
      </c>
      <c r="BJ79" s="13">
        <v>45127</v>
      </c>
      <c r="BK79">
        <v>0</v>
      </c>
      <c r="BL79">
        <v>0</v>
      </c>
      <c r="BM79">
        <v>0</v>
      </c>
      <c r="BN79" t="s">
        <v>45</v>
      </c>
      <c r="BO79" s="6" t="s">
        <v>33</v>
      </c>
      <c r="BP79" t="s">
        <v>45</v>
      </c>
      <c r="BR79" t="s">
        <v>158</v>
      </c>
      <c r="BS79" s="1">
        <v>7</v>
      </c>
      <c r="BT79" s="13">
        <v>45134</v>
      </c>
      <c r="BU79">
        <v>0</v>
      </c>
      <c r="BV79">
        <v>0</v>
      </c>
      <c r="BW79">
        <v>0</v>
      </c>
      <c r="BX79" s="51" t="s">
        <v>27</v>
      </c>
      <c r="BY79" s="51" t="s">
        <v>27</v>
      </c>
      <c r="BZ79" s="51" t="s">
        <v>27</v>
      </c>
      <c r="CC79" s="37" t="s">
        <v>158</v>
      </c>
      <c r="CD79" s="35">
        <f t="shared" si="2"/>
        <v>30</v>
      </c>
    </row>
    <row r="80" spans="1:82" ht="14.4" x14ac:dyDescent="0.3">
      <c r="A80" t="s">
        <v>159</v>
      </c>
      <c r="B80" t="s">
        <v>84</v>
      </c>
      <c r="C80">
        <v>32.490810000000003</v>
      </c>
      <c r="D80">
        <v>-83.435609999999997</v>
      </c>
      <c r="E80" s="13">
        <v>45074</v>
      </c>
      <c r="F80" s="13">
        <v>45084</v>
      </c>
      <c r="H80" s="1" t="s">
        <v>25</v>
      </c>
      <c r="I80" s="12" t="s">
        <v>26</v>
      </c>
      <c r="J80" t="s">
        <v>159</v>
      </c>
      <c r="K80" s="6">
        <v>1</v>
      </c>
      <c r="L80" s="13">
        <v>45091</v>
      </c>
      <c r="M80">
        <v>0</v>
      </c>
      <c r="N80">
        <v>0</v>
      </c>
      <c r="O80">
        <v>0</v>
      </c>
      <c r="P80" t="s">
        <v>27</v>
      </c>
      <c r="Q80" s="6" t="s">
        <v>27</v>
      </c>
      <c r="R80" s="6" t="s">
        <v>27</v>
      </c>
      <c r="S80" s="2"/>
      <c r="T80" t="s">
        <v>159</v>
      </c>
      <c r="U80" s="6">
        <v>2</v>
      </c>
      <c r="V80" s="13">
        <v>45098</v>
      </c>
      <c r="W80">
        <v>0</v>
      </c>
      <c r="X80">
        <v>0</v>
      </c>
      <c r="Y80">
        <v>0</v>
      </c>
      <c r="Z80" t="s">
        <v>27</v>
      </c>
      <c r="AA80" s="6" t="s">
        <v>27</v>
      </c>
      <c r="AB80" t="s">
        <v>27</v>
      </c>
      <c r="AD80" t="s">
        <v>159</v>
      </c>
      <c r="AE80" s="1">
        <v>3</v>
      </c>
      <c r="AF80" s="13">
        <v>45105</v>
      </c>
      <c r="AG80">
        <v>0</v>
      </c>
      <c r="AH80">
        <v>0</v>
      </c>
      <c r="AI80">
        <v>0</v>
      </c>
      <c r="AJ80" t="s">
        <v>27</v>
      </c>
      <c r="AK80" s="6" t="s">
        <v>27</v>
      </c>
      <c r="AL80" t="s">
        <v>27</v>
      </c>
      <c r="AN80" t="s">
        <v>159</v>
      </c>
      <c r="AO80" s="1">
        <v>4</v>
      </c>
      <c r="AP80" s="13">
        <v>45112</v>
      </c>
      <c r="AQ80">
        <v>0</v>
      </c>
      <c r="AR80">
        <v>0</v>
      </c>
      <c r="AS80">
        <v>0</v>
      </c>
      <c r="AT80" t="s">
        <v>27</v>
      </c>
      <c r="AU80" s="6" t="s">
        <v>27</v>
      </c>
      <c r="AV80" t="s">
        <v>27</v>
      </c>
      <c r="AX80" t="s">
        <v>159</v>
      </c>
      <c r="AY80" s="1">
        <v>5</v>
      </c>
      <c r="AZ80" s="13">
        <v>45120</v>
      </c>
      <c r="BA80">
        <v>3</v>
      </c>
      <c r="BB80">
        <v>0</v>
      </c>
      <c r="BC80">
        <v>3</v>
      </c>
      <c r="BD80" t="s">
        <v>33</v>
      </c>
      <c r="BE80" s="6" t="s">
        <v>33</v>
      </c>
      <c r="BF80" t="s">
        <v>27</v>
      </c>
      <c r="BG80" s="2" t="s">
        <v>32</v>
      </c>
      <c r="BH80" t="s">
        <v>159</v>
      </c>
      <c r="BI80" s="1">
        <v>6</v>
      </c>
      <c r="BJ80" s="13">
        <v>45126</v>
      </c>
      <c r="BK80">
        <v>2</v>
      </c>
      <c r="BL80">
        <v>0</v>
      </c>
      <c r="BM80">
        <v>2</v>
      </c>
      <c r="BN80" t="s">
        <v>33</v>
      </c>
      <c r="BO80" s="6" t="s">
        <v>33</v>
      </c>
      <c r="BP80" t="s">
        <v>27</v>
      </c>
      <c r="BR80" t="s">
        <v>159</v>
      </c>
      <c r="BS80" s="1">
        <v>7</v>
      </c>
      <c r="BT80" s="13">
        <v>45133</v>
      </c>
      <c r="BU80">
        <v>0</v>
      </c>
      <c r="BV80">
        <v>0</v>
      </c>
      <c r="BW80">
        <v>0</v>
      </c>
      <c r="BX80" s="51" t="s">
        <v>45</v>
      </c>
      <c r="BY80" s="51" t="s">
        <v>33</v>
      </c>
      <c r="BZ80" s="51" t="s">
        <v>45</v>
      </c>
      <c r="CC80" s="37" t="s">
        <v>159</v>
      </c>
      <c r="CD80" s="35">
        <f t="shared" si="2"/>
        <v>5</v>
      </c>
    </row>
    <row r="81" spans="1:82" ht="14.4" x14ac:dyDescent="0.3">
      <c r="A81" t="s">
        <v>160</v>
      </c>
      <c r="B81" t="s">
        <v>53</v>
      </c>
      <c r="C81">
        <v>32.421610000000001</v>
      </c>
      <c r="D81">
        <v>-83.434709999999995</v>
      </c>
      <c r="E81" s="116"/>
      <c r="F81" s="13">
        <v>45087</v>
      </c>
      <c r="H81" s="1" t="s">
        <v>25</v>
      </c>
      <c r="I81" s="12" t="s">
        <v>26</v>
      </c>
      <c r="J81" t="s">
        <v>160</v>
      </c>
      <c r="K81" s="6">
        <v>1</v>
      </c>
      <c r="L81" s="13">
        <v>45094</v>
      </c>
      <c r="M81">
        <v>0</v>
      </c>
      <c r="N81">
        <v>0</v>
      </c>
      <c r="O81">
        <v>0</v>
      </c>
      <c r="P81" t="s">
        <v>27</v>
      </c>
      <c r="Q81" s="6" t="s">
        <v>27</v>
      </c>
      <c r="R81" s="6" t="s">
        <v>27</v>
      </c>
      <c r="S81" s="2"/>
      <c r="T81" t="s">
        <v>160</v>
      </c>
      <c r="U81" s="6">
        <v>2</v>
      </c>
      <c r="V81" s="13">
        <v>45101</v>
      </c>
      <c r="W81">
        <v>0</v>
      </c>
      <c r="X81">
        <v>0</v>
      </c>
      <c r="Y81">
        <v>0</v>
      </c>
      <c r="Z81" t="s">
        <v>27</v>
      </c>
      <c r="AA81" s="6" t="s">
        <v>33</v>
      </c>
      <c r="AB81" t="s">
        <v>161</v>
      </c>
      <c r="AD81" t="s">
        <v>160</v>
      </c>
      <c r="AE81" s="1">
        <v>3</v>
      </c>
      <c r="AF81" s="13">
        <v>45108</v>
      </c>
      <c r="AG81">
        <v>0</v>
      </c>
      <c r="AH81">
        <v>0</v>
      </c>
      <c r="AI81">
        <v>0</v>
      </c>
      <c r="AJ81" t="s">
        <v>27</v>
      </c>
      <c r="AK81" s="6" t="s">
        <v>27</v>
      </c>
      <c r="AL81" t="s">
        <v>27</v>
      </c>
      <c r="AN81" t="s">
        <v>160</v>
      </c>
      <c r="AO81" s="1">
        <v>4</v>
      </c>
      <c r="AP81" s="13">
        <v>45115</v>
      </c>
      <c r="AQ81">
        <v>0</v>
      </c>
      <c r="AR81">
        <v>0</v>
      </c>
      <c r="AS81">
        <v>0</v>
      </c>
      <c r="AT81" t="s">
        <v>27</v>
      </c>
      <c r="AU81" s="6" t="s">
        <v>27</v>
      </c>
      <c r="AV81" t="s">
        <v>27</v>
      </c>
      <c r="AX81" t="s">
        <v>160</v>
      </c>
      <c r="AY81" s="1">
        <v>5</v>
      </c>
      <c r="AZ81" s="13">
        <v>45122</v>
      </c>
      <c r="BA81">
        <v>0</v>
      </c>
      <c r="BB81">
        <v>0</v>
      </c>
      <c r="BC81">
        <v>0</v>
      </c>
      <c r="BD81" t="s">
        <v>27</v>
      </c>
      <c r="BE81" s="6" t="s">
        <v>27</v>
      </c>
      <c r="BF81" t="s">
        <v>27</v>
      </c>
      <c r="BH81" t="s">
        <v>160</v>
      </c>
      <c r="BI81" s="1">
        <v>6</v>
      </c>
      <c r="BJ81" s="13">
        <v>45129</v>
      </c>
      <c r="BK81">
        <v>0</v>
      </c>
      <c r="BL81">
        <v>0</v>
      </c>
      <c r="BM81">
        <v>0</v>
      </c>
      <c r="BN81" t="s">
        <v>27</v>
      </c>
      <c r="BO81" s="6" t="s">
        <v>27</v>
      </c>
      <c r="BP81" t="s">
        <v>27</v>
      </c>
      <c r="BR81" t="s">
        <v>160</v>
      </c>
      <c r="BS81" s="1">
        <v>7</v>
      </c>
      <c r="BT81" s="13">
        <v>45136</v>
      </c>
      <c r="BU81">
        <v>0</v>
      </c>
      <c r="BV81">
        <v>0</v>
      </c>
      <c r="BW81">
        <v>0</v>
      </c>
      <c r="BX81" s="51" t="s">
        <v>27</v>
      </c>
      <c r="BY81" s="51" t="s">
        <v>27</v>
      </c>
      <c r="BZ81" s="51" t="s">
        <v>27</v>
      </c>
      <c r="CC81" s="37" t="s">
        <v>160</v>
      </c>
      <c r="CD81" s="35">
        <f t="shared" si="2"/>
        <v>0</v>
      </c>
    </row>
    <row r="82" spans="1:82" s="14" customFormat="1" ht="14.4" x14ac:dyDescent="0.3">
      <c r="A82" s="14" t="s">
        <v>162</v>
      </c>
      <c r="B82" s="14" t="s">
        <v>163</v>
      </c>
      <c r="G82" s="15"/>
      <c r="H82" s="16" t="s">
        <v>25</v>
      </c>
      <c r="I82" s="17" t="s">
        <v>26</v>
      </c>
      <c r="J82" s="14" t="s">
        <v>162</v>
      </c>
      <c r="K82" s="15">
        <v>1</v>
      </c>
      <c r="Q82" s="15"/>
      <c r="R82" s="15"/>
      <c r="S82" s="18"/>
      <c r="T82" s="14" t="s">
        <v>162</v>
      </c>
      <c r="U82" s="15">
        <v>2</v>
      </c>
      <c r="AA82" s="15"/>
      <c r="AC82" s="18"/>
      <c r="AD82" s="14" t="s">
        <v>162</v>
      </c>
      <c r="AE82" s="16">
        <v>3</v>
      </c>
      <c r="AK82" s="15"/>
      <c r="AM82" s="18"/>
      <c r="AN82" s="14" t="s">
        <v>162</v>
      </c>
      <c r="AO82" s="16">
        <v>4</v>
      </c>
      <c r="AU82" s="15"/>
      <c r="AW82" s="18"/>
      <c r="AX82" s="14" t="s">
        <v>162</v>
      </c>
      <c r="AY82" s="16">
        <v>5</v>
      </c>
      <c r="BE82" s="15"/>
      <c r="BG82" s="18"/>
      <c r="BH82" s="14" t="s">
        <v>162</v>
      </c>
      <c r="BI82" s="16">
        <v>6</v>
      </c>
      <c r="BO82" s="15"/>
      <c r="BQ82" s="18"/>
      <c r="BR82" s="14" t="s">
        <v>162</v>
      </c>
      <c r="BS82" s="16">
        <v>7</v>
      </c>
      <c r="BX82" s="52"/>
      <c r="BY82" s="52"/>
      <c r="BZ82" s="52"/>
      <c r="CA82" s="18"/>
      <c r="CC82" s="39" t="s">
        <v>162</v>
      </c>
      <c r="CD82" s="40">
        <f t="shared" si="2"/>
        <v>0</v>
      </c>
    </row>
    <row r="83" spans="1:82" ht="14.4" x14ac:dyDescent="0.3">
      <c r="A83" t="s">
        <v>164</v>
      </c>
      <c r="B83" t="s">
        <v>96</v>
      </c>
      <c r="C83" s="21">
        <v>32.446199999999997</v>
      </c>
      <c r="D83">
        <v>-83.433790000000002</v>
      </c>
      <c r="E83" s="13">
        <v>45080</v>
      </c>
      <c r="F83" s="13">
        <v>45087</v>
      </c>
      <c r="H83" s="1" t="s">
        <v>25</v>
      </c>
      <c r="I83" s="12" t="s">
        <v>26</v>
      </c>
      <c r="J83" t="s">
        <v>164</v>
      </c>
      <c r="K83" s="6">
        <v>1</v>
      </c>
      <c r="L83" s="13">
        <v>45094</v>
      </c>
      <c r="M83">
        <v>0</v>
      </c>
      <c r="N83">
        <v>0</v>
      </c>
      <c r="O83">
        <v>0</v>
      </c>
      <c r="P83" t="s">
        <v>27</v>
      </c>
      <c r="Q83" s="6" t="s">
        <v>27</v>
      </c>
      <c r="R83" s="6" t="s">
        <v>27</v>
      </c>
      <c r="S83" s="2"/>
      <c r="T83" t="s">
        <v>164</v>
      </c>
      <c r="U83" s="6">
        <v>2</v>
      </c>
      <c r="V83" s="13">
        <v>45101</v>
      </c>
      <c r="W83">
        <v>0</v>
      </c>
      <c r="X83">
        <v>0</v>
      </c>
      <c r="Y83">
        <v>0</v>
      </c>
      <c r="Z83" t="s">
        <v>27</v>
      </c>
      <c r="AA83" s="6" t="s">
        <v>27</v>
      </c>
      <c r="AB83" t="s">
        <v>27</v>
      </c>
      <c r="AD83" t="s">
        <v>164</v>
      </c>
      <c r="AE83" s="1">
        <v>3</v>
      </c>
      <c r="AF83" s="13">
        <v>45108</v>
      </c>
      <c r="AG83">
        <v>0</v>
      </c>
      <c r="AH83">
        <v>0</v>
      </c>
      <c r="AI83">
        <v>0</v>
      </c>
      <c r="AJ83" t="s">
        <v>27</v>
      </c>
      <c r="AK83" s="6" t="s">
        <v>27</v>
      </c>
      <c r="AL83" t="s">
        <v>27</v>
      </c>
      <c r="AN83" t="s">
        <v>164</v>
      </c>
      <c r="AO83" s="1">
        <v>4</v>
      </c>
      <c r="AP83" s="13">
        <v>45115</v>
      </c>
      <c r="AQ83">
        <v>0</v>
      </c>
      <c r="AR83">
        <v>0</v>
      </c>
      <c r="AS83">
        <v>0</v>
      </c>
      <c r="AT83" t="s">
        <v>27</v>
      </c>
      <c r="AU83" s="6" t="s">
        <v>27</v>
      </c>
      <c r="AV83" t="s">
        <v>27</v>
      </c>
      <c r="AX83" t="s">
        <v>164</v>
      </c>
      <c r="AY83" s="1">
        <v>5</v>
      </c>
      <c r="AZ83" s="13">
        <v>45122</v>
      </c>
      <c r="BA83">
        <v>0</v>
      </c>
      <c r="BB83">
        <v>0</v>
      </c>
      <c r="BC83">
        <v>0</v>
      </c>
      <c r="BD83" t="s">
        <v>27</v>
      </c>
      <c r="BE83" s="6" t="s">
        <v>27</v>
      </c>
      <c r="BF83" t="s">
        <v>27</v>
      </c>
      <c r="BH83" t="s">
        <v>164</v>
      </c>
      <c r="BI83" s="1">
        <v>6</v>
      </c>
      <c r="BJ83" s="13">
        <v>45129</v>
      </c>
      <c r="BK83">
        <v>0</v>
      </c>
      <c r="BL83">
        <v>0</v>
      </c>
      <c r="BM83">
        <v>0</v>
      </c>
      <c r="BN83" t="s">
        <v>27</v>
      </c>
      <c r="BO83" s="6" t="s">
        <v>27</v>
      </c>
      <c r="BP83" t="s">
        <v>27</v>
      </c>
      <c r="BR83" t="s">
        <v>164</v>
      </c>
      <c r="BS83" s="1">
        <v>7</v>
      </c>
      <c r="BT83" s="13">
        <v>45136</v>
      </c>
      <c r="BU83">
        <v>0</v>
      </c>
      <c r="BV83">
        <v>0</v>
      </c>
      <c r="BW83">
        <v>0</v>
      </c>
      <c r="BX83" s="51" t="s">
        <v>27</v>
      </c>
      <c r="BY83" s="51" t="s">
        <v>27</v>
      </c>
      <c r="BZ83" s="51" t="s">
        <v>27</v>
      </c>
      <c r="CC83" s="36" t="s">
        <v>164</v>
      </c>
      <c r="CD83" s="30">
        <f t="shared" si="2"/>
        <v>0</v>
      </c>
    </row>
    <row r="84" spans="1:82" ht="14.4" x14ac:dyDescent="0.3">
      <c r="A84" t="s">
        <v>165</v>
      </c>
      <c r="B84" t="s">
        <v>66</v>
      </c>
      <c r="C84">
        <v>32.48451</v>
      </c>
      <c r="D84">
        <v>-83.484620000000007</v>
      </c>
      <c r="E84" s="13">
        <v>45074</v>
      </c>
      <c r="F84" s="13">
        <v>45083</v>
      </c>
      <c r="H84" s="1" t="s">
        <v>25</v>
      </c>
      <c r="I84" s="12" t="s">
        <v>26</v>
      </c>
      <c r="J84" t="s">
        <v>165</v>
      </c>
      <c r="K84" s="6">
        <v>1</v>
      </c>
      <c r="L84" s="13">
        <v>45090</v>
      </c>
      <c r="M84">
        <v>0</v>
      </c>
      <c r="N84">
        <v>0</v>
      </c>
      <c r="O84">
        <v>0</v>
      </c>
      <c r="P84" t="s">
        <v>27</v>
      </c>
      <c r="Q84" s="6" t="s">
        <v>27</v>
      </c>
      <c r="R84" s="6" t="s">
        <v>27</v>
      </c>
      <c r="S84" s="2"/>
      <c r="T84" t="s">
        <v>165</v>
      </c>
      <c r="U84" s="6">
        <v>2</v>
      </c>
      <c r="V84" s="13">
        <v>45097</v>
      </c>
      <c r="W84">
        <v>0</v>
      </c>
      <c r="X84">
        <v>0</v>
      </c>
      <c r="Y84">
        <v>0</v>
      </c>
      <c r="Z84" t="s">
        <v>27</v>
      </c>
      <c r="AA84" s="6" t="s">
        <v>27</v>
      </c>
      <c r="AB84" t="s">
        <v>27</v>
      </c>
      <c r="AD84" t="s">
        <v>165</v>
      </c>
      <c r="AE84" s="1">
        <v>3</v>
      </c>
      <c r="AF84" s="13">
        <v>45104</v>
      </c>
      <c r="AG84">
        <v>0</v>
      </c>
      <c r="AH84">
        <v>0</v>
      </c>
      <c r="AI84">
        <v>0</v>
      </c>
      <c r="AJ84" t="s">
        <v>27</v>
      </c>
      <c r="AK84" s="6" t="s">
        <v>27</v>
      </c>
      <c r="AL84" t="s">
        <v>27</v>
      </c>
      <c r="AN84" t="s">
        <v>165</v>
      </c>
      <c r="AO84" s="1">
        <v>4</v>
      </c>
      <c r="AP84" s="13">
        <v>45111</v>
      </c>
      <c r="AQ84">
        <v>0</v>
      </c>
      <c r="AR84">
        <v>0</v>
      </c>
      <c r="AS84">
        <v>0</v>
      </c>
      <c r="AT84" t="s">
        <v>27</v>
      </c>
      <c r="AU84" s="6" t="s">
        <v>27</v>
      </c>
      <c r="AV84" t="s">
        <v>27</v>
      </c>
      <c r="AX84" t="s">
        <v>165</v>
      </c>
      <c r="AY84" s="1">
        <v>5</v>
      </c>
      <c r="AZ84" s="13">
        <v>45118</v>
      </c>
      <c r="BA84">
        <v>0</v>
      </c>
      <c r="BB84">
        <v>0</v>
      </c>
      <c r="BC84">
        <v>0</v>
      </c>
      <c r="BD84" t="s">
        <v>27</v>
      </c>
      <c r="BE84" s="6" t="s">
        <v>27</v>
      </c>
      <c r="BF84" t="s">
        <v>27</v>
      </c>
      <c r="BH84" t="s">
        <v>165</v>
      </c>
      <c r="BI84" s="1">
        <v>6</v>
      </c>
      <c r="BJ84" s="13">
        <v>45125</v>
      </c>
      <c r="BK84">
        <v>0</v>
      </c>
      <c r="BL84">
        <v>0</v>
      </c>
      <c r="BM84">
        <v>0</v>
      </c>
      <c r="BN84" t="s">
        <v>27</v>
      </c>
      <c r="BO84" s="6" t="s">
        <v>27</v>
      </c>
      <c r="BP84" t="s">
        <v>27</v>
      </c>
      <c r="BR84" t="s">
        <v>165</v>
      </c>
      <c r="BS84" s="1">
        <v>7</v>
      </c>
      <c r="BT84" s="13">
        <v>45132</v>
      </c>
      <c r="BU84">
        <v>0</v>
      </c>
      <c r="BV84">
        <v>0</v>
      </c>
      <c r="BW84">
        <v>0</v>
      </c>
      <c r="BX84" s="51" t="s">
        <v>27</v>
      </c>
      <c r="BY84" s="51" t="s">
        <v>27</v>
      </c>
      <c r="BZ84" s="51" t="s">
        <v>27</v>
      </c>
      <c r="CC84" s="36" t="s">
        <v>165</v>
      </c>
      <c r="CD84" s="30">
        <f t="shared" si="2"/>
        <v>0</v>
      </c>
    </row>
    <row r="85" spans="1:82" ht="14.4" x14ac:dyDescent="0.3">
      <c r="A85" t="s">
        <v>166</v>
      </c>
      <c r="B85" t="s">
        <v>96</v>
      </c>
      <c r="C85">
        <v>32.490720000000003</v>
      </c>
      <c r="D85" s="21">
        <v>-83.477999999999994</v>
      </c>
      <c r="E85" s="13">
        <v>45080</v>
      </c>
      <c r="F85" s="13">
        <v>45083</v>
      </c>
      <c r="H85" s="1" t="s">
        <v>25</v>
      </c>
      <c r="I85" s="12" t="s">
        <v>26</v>
      </c>
      <c r="J85" t="s">
        <v>166</v>
      </c>
      <c r="K85" s="6">
        <v>1</v>
      </c>
      <c r="L85" s="13">
        <v>45090</v>
      </c>
      <c r="M85">
        <v>0</v>
      </c>
      <c r="N85">
        <v>0</v>
      </c>
      <c r="O85">
        <v>0</v>
      </c>
      <c r="P85" t="s">
        <v>27</v>
      </c>
      <c r="Q85" s="6" t="s">
        <v>27</v>
      </c>
      <c r="R85" s="6" t="s">
        <v>27</v>
      </c>
      <c r="S85" s="2"/>
      <c r="T85" t="s">
        <v>166</v>
      </c>
      <c r="U85" s="6">
        <v>2</v>
      </c>
      <c r="V85" s="13">
        <v>45097</v>
      </c>
      <c r="W85">
        <v>0</v>
      </c>
      <c r="X85">
        <v>0</v>
      </c>
      <c r="Y85">
        <v>0</v>
      </c>
      <c r="Z85" t="s">
        <v>45</v>
      </c>
      <c r="AA85" s="6" t="s">
        <v>33</v>
      </c>
      <c r="AB85" t="s">
        <v>45</v>
      </c>
      <c r="AD85" t="s">
        <v>166</v>
      </c>
      <c r="AE85" s="1">
        <v>3</v>
      </c>
      <c r="AF85" s="13">
        <v>45104</v>
      </c>
      <c r="AG85">
        <v>0</v>
      </c>
      <c r="AH85">
        <v>0</v>
      </c>
      <c r="AI85">
        <v>0</v>
      </c>
      <c r="AJ85" t="s">
        <v>27</v>
      </c>
      <c r="AK85" s="6" t="s">
        <v>27</v>
      </c>
      <c r="AL85" t="s">
        <v>27</v>
      </c>
      <c r="AN85" t="s">
        <v>166</v>
      </c>
      <c r="AO85" s="1">
        <v>4</v>
      </c>
      <c r="AP85" s="13">
        <v>45111</v>
      </c>
      <c r="AQ85">
        <v>0</v>
      </c>
      <c r="AR85">
        <v>0</v>
      </c>
      <c r="AS85">
        <v>0</v>
      </c>
      <c r="AT85" t="s">
        <v>27</v>
      </c>
      <c r="AU85" s="6" t="s">
        <v>33</v>
      </c>
      <c r="AV85" t="s">
        <v>27</v>
      </c>
      <c r="AX85" t="s">
        <v>166</v>
      </c>
      <c r="AY85" s="1">
        <v>5</v>
      </c>
      <c r="AZ85" s="13">
        <v>45118</v>
      </c>
      <c r="BA85">
        <v>0</v>
      </c>
      <c r="BB85">
        <v>0</v>
      </c>
      <c r="BC85">
        <v>0</v>
      </c>
      <c r="BD85" t="s">
        <v>27</v>
      </c>
      <c r="BE85" s="6" t="s">
        <v>27</v>
      </c>
      <c r="BF85" t="s">
        <v>27</v>
      </c>
      <c r="BH85" t="s">
        <v>166</v>
      </c>
      <c r="BI85" s="1">
        <v>6</v>
      </c>
      <c r="BJ85" s="13">
        <v>45125</v>
      </c>
      <c r="BK85">
        <v>0</v>
      </c>
      <c r="BL85">
        <v>0</v>
      </c>
      <c r="BM85">
        <v>0</v>
      </c>
      <c r="BN85" t="s">
        <v>27</v>
      </c>
      <c r="BO85" s="6" t="s">
        <v>27</v>
      </c>
      <c r="BP85" t="s">
        <v>27</v>
      </c>
      <c r="BR85" t="s">
        <v>166</v>
      </c>
      <c r="BS85" s="1">
        <v>7</v>
      </c>
      <c r="BT85" s="13">
        <v>45132</v>
      </c>
      <c r="BU85">
        <v>0</v>
      </c>
      <c r="BV85">
        <v>0</v>
      </c>
      <c r="BW85">
        <v>0</v>
      </c>
      <c r="BX85" s="51" t="s">
        <v>27</v>
      </c>
      <c r="BY85" s="51" t="s">
        <v>27</v>
      </c>
      <c r="BZ85" s="51" t="s">
        <v>27</v>
      </c>
      <c r="CC85" s="36" t="s">
        <v>166</v>
      </c>
      <c r="CD85" s="30">
        <f t="shared" si="2"/>
        <v>0</v>
      </c>
    </row>
    <row r="86" spans="1:82" ht="14.4" x14ac:dyDescent="0.3">
      <c r="A86" t="s">
        <v>167</v>
      </c>
      <c r="B86" t="s">
        <v>93</v>
      </c>
      <c r="C86">
        <v>32.500860000000003</v>
      </c>
      <c r="D86">
        <v>-83.508359999999996</v>
      </c>
      <c r="E86" s="13">
        <v>45074</v>
      </c>
      <c r="F86" s="13">
        <v>45083</v>
      </c>
      <c r="H86" s="1" t="s">
        <v>25</v>
      </c>
      <c r="I86" s="12" t="s">
        <v>26</v>
      </c>
      <c r="J86" t="s">
        <v>167</v>
      </c>
      <c r="K86" s="6">
        <v>1</v>
      </c>
      <c r="L86" s="13">
        <v>45090</v>
      </c>
      <c r="M86">
        <v>0</v>
      </c>
      <c r="N86">
        <v>0</v>
      </c>
      <c r="O86">
        <v>0</v>
      </c>
      <c r="P86" t="s">
        <v>27</v>
      </c>
      <c r="Q86" s="6" t="s">
        <v>27</v>
      </c>
      <c r="R86" s="6" t="s">
        <v>27</v>
      </c>
      <c r="S86" s="2"/>
      <c r="T86" t="s">
        <v>167</v>
      </c>
      <c r="U86" s="6">
        <v>2</v>
      </c>
      <c r="V86" s="13">
        <v>45097</v>
      </c>
      <c r="W86">
        <v>0</v>
      </c>
      <c r="X86">
        <v>0</v>
      </c>
      <c r="Y86">
        <v>0</v>
      </c>
      <c r="Z86" t="s">
        <v>27</v>
      </c>
      <c r="AA86" s="6" t="s">
        <v>27</v>
      </c>
      <c r="AB86" t="s">
        <v>27</v>
      </c>
      <c r="AD86" t="s">
        <v>167</v>
      </c>
      <c r="AE86" s="1">
        <v>3</v>
      </c>
      <c r="AF86" s="13">
        <v>45104</v>
      </c>
      <c r="AG86">
        <v>0</v>
      </c>
      <c r="AH86">
        <v>0</v>
      </c>
      <c r="AI86">
        <v>0</v>
      </c>
      <c r="AJ86" t="s">
        <v>27</v>
      </c>
      <c r="AK86" s="6" t="s">
        <v>27</v>
      </c>
      <c r="AL86" t="s">
        <v>27</v>
      </c>
      <c r="AN86" t="s">
        <v>167</v>
      </c>
      <c r="AO86" s="1">
        <v>4</v>
      </c>
      <c r="AP86" s="13">
        <v>45111</v>
      </c>
      <c r="AQ86">
        <v>0</v>
      </c>
      <c r="AR86">
        <v>0</v>
      </c>
      <c r="AS86">
        <v>0</v>
      </c>
      <c r="AT86" t="s">
        <v>27</v>
      </c>
      <c r="AU86" s="6" t="s">
        <v>27</v>
      </c>
      <c r="AV86" t="s">
        <v>27</v>
      </c>
      <c r="AX86" t="s">
        <v>167</v>
      </c>
      <c r="AY86" s="1">
        <v>5</v>
      </c>
      <c r="AZ86" s="13">
        <v>45118</v>
      </c>
      <c r="BA86">
        <v>0</v>
      </c>
      <c r="BB86">
        <v>0</v>
      </c>
      <c r="BC86">
        <v>0</v>
      </c>
      <c r="BD86" t="s">
        <v>27</v>
      </c>
      <c r="BE86" s="6" t="s">
        <v>27</v>
      </c>
      <c r="BF86" t="s">
        <v>27</v>
      </c>
      <c r="BH86" t="s">
        <v>167</v>
      </c>
      <c r="BI86" s="1">
        <v>6</v>
      </c>
      <c r="BJ86" s="13">
        <v>45125</v>
      </c>
      <c r="BK86">
        <v>0</v>
      </c>
      <c r="BL86">
        <v>0</v>
      </c>
      <c r="BM86">
        <v>0</v>
      </c>
      <c r="BN86" t="s">
        <v>45</v>
      </c>
      <c r="BO86" s="6" t="s">
        <v>33</v>
      </c>
      <c r="BP86" t="s">
        <v>45</v>
      </c>
      <c r="BR86" t="s">
        <v>167</v>
      </c>
      <c r="BS86" s="1">
        <v>7</v>
      </c>
      <c r="BT86" s="13">
        <v>45132</v>
      </c>
      <c r="BU86">
        <v>2</v>
      </c>
      <c r="BV86">
        <v>2</v>
      </c>
      <c r="BW86">
        <v>4</v>
      </c>
      <c r="BX86" s="51" t="s">
        <v>33</v>
      </c>
      <c r="BY86" s="51" t="s">
        <v>33</v>
      </c>
      <c r="BZ86" s="51" t="s">
        <v>27</v>
      </c>
      <c r="CC86" s="36" t="s">
        <v>167</v>
      </c>
      <c r="CD86" s="30">
        <f t="shared" si="2"/>
        <v>4</v>
      </c>
    </row>
    <row r="87" spans="1:82" ht="14.4" x14ac:dyDescent="0.3">
      <c r="A87" t="s">
        <v>168</v>
      </c>
      <c r="B87" t="s">
        <v>169</v>
      </c>
      <c r="C87" s="21">
        <v>32.501800000000003</v>
      </c>
      <c r="D87">
        <v>-83.488590000000002</v>
      </c>
      <c r="E87" s="13">
        <v>45074</v>
      </c>
      <c r="F87" s="13">
        <v>45083</v>
      </c>
      <c r="H87" s="1" t="s">
        <v>25</v>
      </c>
      <c r="I87" s="12" t="s">
        <v>26</v>
      </c>
      <c r="J87" t="s">
        <v>168</v>
      </c>
      <c r="K87" s="6">
        <v>1</v>
      </c>
      <c r="L87" s="13">
        <v>45090</v>
      </c>
      <c r="M87">
        <v>0</v>
      </c>
      <c r="N87">
        <v>0</v>
      </c>
      <c r="O87">
        <v>0</v>
      </c>
      <c r="P87" t="s">
        <v>27</v>
      </c>
      <c r="Q87" s="6" t="s">
        <v>27</v>
      </c>
      <c r="R87" s="6" t="s">
        <v>27</v>
      </c>
      <c r="S87" s="2"/>
      <c r="T87" t="s">
        <v>168</v>
      </c>
      <c r="U87" s="6">
        <v>2</v>
      </c>
      <c r="V87" s="13">
        <v>45097</v>
      </c>
      <c r="W87">
        <v>0</v>
      </c>
      <c r="X87">
        <v>0</v>
      </c>
      <c r="Y87">
        <v>0</v>
      </c>
      <c r="Z87" t="s">
        <v>27</v>
      </c>
      <c r="AA87" s="6" t="s">
        <v>27</v>
      </c>
      <c r="AB87" t="s">
        <v>27</v>
      </c>
      <c r="AD87" t="s">
        <v>168</v>
      </c>
      <c r="AE87" s="1">
        <v>3</v>
      </c>
      <c r="AF87" s="13">
        <v>45104</v>
      </c>
      <c r="AG87">
        <v>0</v>
      </c>
      <c r="AH87">
        <v>0</v>
      </c>
      <c r="AI87">
        <v>0</v>
      </c>
      <c r="AJ87" t="s">
        <v>27</v>
      </c>
      <c r="AK87" s="6" t="s">
        <v>27</v>
      </c>
      <c r="AL87" t="s">
        <v>27</v>
      </c>
      <c r="AN87" t="s">
        <v>168</v>
      </c>
      <c r="AO87" s="1">
        <v>4</v>
      </c>
      <c r="AP87" s="13">
        <v>45111</v>
      </c>
      <c r="AQ87">
        <v>0</v>
      </c>
      <c r="AR87">
        <v>0</v>
      </c>
      <c r="AS87">
        <v>0</v>
      </c>
      <c r="AT87" t="s">
        <v>27</v>
      </c>
      <c r="AU87" s="6" t="s">
        <v>27</v>
      </c>
      <c r="AV87" t="s">
        <v>27</v>
      </c>
      <c r="AX87" t="s">
        <v>168</v>
      </c>
      <c r="AY87" s="1">
        <v>5</v>
      </c>
      <c r="AZ87" s="13">
        <v>45118</v>
      </c>
      <c r="BA87">
        <v>1</v>
      </c>
      <c r="BB87">
        <v>2</v>
      </c>
      <c r="BC87">
        <v>3</v>
      </c>
      <c r="BD87" t="s">
        <v>33</v>
      </c>
      <c r="BE87" s="6" t="s">
        <v>33</v>
      </c>
      <c r="BF87" t="s">
        <v>27</v>
      </c>
      <c r="BH87" t="s">
        <v>168</v>
      </c>
      <c r="BI87" s="1">
        <v>6</v>
      </c>
      <c r="BJ87" s="13">
        <v>45125</v>
      </c>
      <c r="BK87">
        <v>0</v>
      </c>
      <c r="BL87">
        <v>0</v>
      </c>
      <c r="BM87">
        <v>0</v>
      </c>
      <c r="BN87" t="s">
        <v>27</v>
      </c>
      <c r="BO87" s="6" t="s">
        <v>27</v>
      </c>
      <c r="BP87" t="s">
        <v>27</v>
      </c>
      <c r="BR87" t="s">
        <v>168</v>
      </c>
      <c r="BS87" s="1">
        <v>7</v>
      </c>
      <c r="BT87" s="13">
        <v>45132</v>
      </c>
      <c r="BU87">
        <v>0</v>
      </c>
      <c r="BV87">
        <v>0</v>
      </c>
      <c r="BW87">
        <v>0</v>
      </c>
      <c r="BX87" s="51" t="s">
        <v>27</v>
      </c>
      <c r="BY87" s="51" t="s">
        <v>27</v>
      </c>
      <c r="BZ87" s="51" t="s">
        <v>27</v>
      </c>
      <c r="CC87" s="36" t="s">
        <v>168</v>
      </c>
      <c r="CD87" s="30">
        <f t="shared" si="2"/>
        <v>3</v>
      </c>
    </row>
    <row r="88" spans="1:82" ht="14.4" x14ac:dyDescent="0.3">
      <c r="A88" t="s">
        <v>170</v>
      </c>
      <c r="B88" t="s">
        <v>169</v>
      </c>
      <c r="C88">
        <v>32.501330000000003</v>
      </c>
      <c r="D88">
        <v>-83.472070000000002</v>
      </c>
      <c r="E88" s="13">
        <v>45072</v>
      </c>
      <c r="F88" s="13">
        <v>45083</v>
      </c>
      <c r="H88" s="1" t="s">
        <v>25</v>
      </c>
      <c r="I88" s="12" t="s">
        <v>26</v>
      </c>
      <c r="J88" t="s">
        <v>170</v>
      </c>
      <c r="K88" s="6">
        <v>1</v>
      </c>
      <c r="L88" s="13">
        <v>45090</v>
      </c>
      <c r="M88">
        <v>0</v>
      </c>
      <c r="N88">
        <v>0</v>
      </c>
      <c r="O88">
        <v>0</v>
      </c>
      <c r="P88" t="s">
        <v>27</v>
      </c>
      <c r="Q88" s="6" t="s">
        <v>27</v>
      </c>
      <c r="R88" s="6" t="s">
        <v>27</v>
      </c>
      <c r="S88" s="2"/>
      <c r="T88" t="s">
        <v>170</v>
      </c>
      <c r="U88" s="6">
        <v>2</v>
      </c>
      <c r="V88" s="13">
        <v>45097</v>
      </c>
      <c r="W88">
        <v>0</v>
      </c>
      <c r="X88">
        <v>0</v>
      </c>
      <c r="Y88">
        <v>0</v>
      </c>
      <c r="Z88" t="s">
        <v>27</v>
      </c>
      <c r="AA88" s="6" t="s">
        <v>27</v>
      </c>
      <c r="AB88" t="s">
        <v>27</v>
      </c>
      <c r="AD88" t="s">
        <v>170</v>
      </c>
      <c r="AE88" s="1">
        <v>3</v>
      </c>
      <c r="AF88" s="13">
        <v>45104</v>
      </c>
      <c r="AG88">
        <v>0</v>
      </c>
      <c r="AH88">
        <v>0</v>
      </c>
      <c r="AI88">
        <v>0</v>
      </c>
      <c r="AJ88" t="s">
        <v>27</v>
      </c>
      <c r="AK88" s="6" t="s">
        <v>27</v>
      </c>
      <c r="AL88" t="s">
        <v>27</v>
      </c>
      <c r="AN88" t="s">
        <v>170</v>
      </c>
      <c r="AO88" s="1">
        <v>4</v>
      </c>
      <c r="AP88" s="13">
        <v>45111</v>
      </c>
      <c r="AQ88">
        <v>0</v>
      </c>
      <c r="AR88">
        <v>0</v>
      </c>
      <c r="AS88">
        <v>0</v>
      </c>
      <c r="AT88" t="s">
        <v>27</v>
      </c>
      <c r="AU88" s="6" t="s">
        <v>27</v>
      </c>
      <c r="AV88" t="s">
        <v>27</v>
      </c>
      <c r="AX88" t="s">
        <v>170</v>
      </c>
      <c r="AY88" s="1">
        <v>5</v>
      </c>
      <c r="AZ88" s="13">
        <v>45118</v>
      </c>
      <c r="BA88">
        <v>0</v>
      </c>
      <c r="BB88">
        <v>0</v>
      </c>
      <c r="BC88">
        <v>0</v>
      </c>
      <c r="BD88" t="s">
        <v>45</v>
      </c>
      <c r="BE88" s="6" t="s">
        <v>33</v>
      </c>
      <c r="BF88" t="s">
        <v>45</v>
      </c>
      <c r="BH88" t="s">
        <v>170</v>
      </c>
      <c r="BI88" s="1">
        <v>6</v>
      </c>
      <c r="BJ88" s="13">
        <v>45125</v>
      </c>
      <c r="BK88">
        <v>0</v>
      </c>
      <c r="BL88">
        <v>0</v>
      </c>
      <c r="BM88">
        <v>0</v>
      </c>
      <c r="BN88" t="s">
        <v>27</v>
      </c>
      <c r="BO88" s="6" t="s">
        <v>27</v>
      </c>
      <c r="BP88" t="s">
        <v>27</v>
      </c>
      <c r="BR88" t="s">
        <v>170</v>
      </c>
      <c r="BS88" s="1">
        <v>7</v>
      </c>
      <c r="BT88" s="13">
        <v>45132</v>
      </c>
      <c r="BU88">
        <v>0</v>
      </c>
      <c r="BV88">
        <v>0</v>
      </c>
      <c r="BW88">
        <v>0</v>
      </c>
      <c r="BX88" s="51" t="s">
        <v>27</v>
      </c>
      <c r="BY88" s="51" t="s">
        <v>27</v>
      </c>
      <c r="BZ88" s="51" t="s">
        <v>27</v>
      </c>
      <c r="CC88" s="36" t="s">
        <v>170</v>
      </c>
      <c r="CD88" s="30">
        <f t="shared" si="2"/>
        <v>0</v>
      </c>
    </row>
    <row r="89" spans="1:82" ht="14.4" x14ac:dyDescent="0.3">
      <c r="A89" t="s">
        <v>171</v>
      </c>
      <c r="B89" t="s">
        <v>157</v>
      </c>
      <c r="C89">
        <v>32.505540000000003</v>
      </c>
      <c r="D89">
        <v>-83.452860000000001</v>
      </c>
      <c r="E89" s="13">
        <v>45073</v>
      </c>
      <c r="F89" s="13">
        <v>45450</v>
      </c>
      <c r="H89" s="1" t="s">
        <v>25</v>
      </c>
      <c r="I89" s="12" t="s">
        <v>26</v>
      </c>
      <c r="J89" t="s">
        <v>171</v>
      </c>
      <c r="K89" s="6">
        <v>1</v>
      </c>
      <c r="L89" s="13">
        <v>45091</v>
      </c>
      <c r="M89">
        <v>0</v>
      </c>
      <c r="N89">
        <v>0</v>
      </c>
      <c r="O89">
        <v>0</v>
      </c>
      <c r="P89" t="s">
        <v>27</v>
      </c>
      <c r="Q89" s="6" t="s">
        <v>27</v>
      </c>
      <c r="R89" s="6" t="s">
        <v>27</v>
      </c>
      <c r="S89" s="2"/>
      <c r="T89" t="s">
        <v>171</v>
      </c>
      <c r="U89" s="6">
        <v>2</v>
      </c>
      <c r="V89" s="13">
        <v>45098</v>
      </c>
      <c r="W89">
        <v>0</v>
      </c>
      <c r="X89">
        <v>0</v>
      </c>
      <c r="Y89">
        <v>0</v>
      </c>
      <c r="Z89" t="s">
        <v>27</v>
      </c>
      <c r="AA89" s="6" t="s">
        <v>27</v>
      </c>
      <c r="AB89" t="s">
        <v>27</v>
      </c>
      <c r="AD89" t="s">
        <v>171</v>
      </c>
      <c r="AE89" s="1">
        <v>3</v>
      </c>
      <c r="AF89" s="13">
        <v>45105</v>
      </c>
      <c r="AG89">
        <v>0</v>
      </c>
      <c r="AH89">
        <v>0</v>
      </c>
      <c r="AI89">
        <v>0</v>
      </c>
      <c r="AJ89" t="s">
        <v>27</v>
      </c>
      <c r="AK89" s="6" t="s">
        <v>27</v>
      </c>
      <c r="AL89" t="s">
        <v>27</v>
      </c>
      <c r="AN89" t="s">
        <v>171</v>
      </c>
      <c r="AO89" s="1">
        <v>4</v>
      </c>
      <c r="AP89" s="13">
        <v>45112</v>
      </c>
      <c r="AQ89">
        <v>0</v>
      </c>
      <c r="AR89">
        <v>0</v>
      </c>
      <c r="AS89">
        <v>0</v>
      </c>
      <c r="AT89" t="s">
        <v>27</v>
      </c>
      <c r="AU89" s="6" t="s">
        <v>27</v>
      </c>
      <c r="AV89" t="s">
        <v>27</v>
      </c>
      <c r="AX89" t="s">
        <v>171</v>
      </c>
      <c r="AY89" s="1">
        <v>5</v>
      </c>
      <c r="AZ89" s="13">
        <v>45119</v>
      </c>
      <c r="BA89">
        <v>1</v>
      </c>
      <c r="BB89">
        <v>3</v>
      </c>
      <c r="BC89">
        <v>4</v>
      </c>
      <c r="BD89" t="s">
        <v>33</v>
      </c>
      <c r="BE89" s="6" t="s">
        <v>33</v>
      </c>
      <c r="BF89" t="s">
        <v>27</v>
      </c>
      <c r="BG89" s="2" t="s">
        <v>32</v>
      </c>
      <c r="BH89" t="s">
        <v>171</v>
      </c>
      <c r="BI89" s="1">
        <v>6</v>
      </c>
      <c r="BJ89" s="13">
        <v>45126</v>
      </c>
      <c r="BK89">
        <v>4</v>
      </c>
      <c r="BL89">
        <v>2</v>
      </c>
      <c r="BM89">
        <v>6</v>
      </c>
      <c r="BN89" t="s">
        <v>33</v>
      </c>
      <c r="BO89" s="6" t="s">
        <v>33</v>
      </c>
      <c r="BP89" t="s">
        <v>27</v>
      </c>
      <c r="BR89" t="s">
        <v>171</v>
      </c>
      <c r="BS89" s="1">
        <v>7</v>
      </c>
      <c r="BT89" s="13">
        <v>45133</v>
      </c>
      <c r="BU89">
        <v>1</v>
      </c>
      <c r="BV89">
        <v>0</v>
      </c>
      <c r="BW89">
        <v>1</v>
      </c>
      <c r="BX89" s="51" t="s">
        <v>33</v>
      </c>
      <c r="BY89" s="51" t="s">
        <v>33</v>
      </c>
      <c r="BZ89" s="51" t="s">
        <v>27</v>
      </c>
      <c r="CC89" s="36" t="s">
        <v>171</v>
      </c>
      <c r="CD89" s="30">
        <f t="shared" si="2"/>
        <v>11</v>
      </c>
    </row>
    <row r="90" spans="1:82" ht="14.4" x14ac:dyDescent="0.3">
      <c r="A90" t="s">
        <v>172</v>
      </c>
      <c r="B90" t="s">
        <v>96</v>
      </c>
      <c r="C90">
        <v>32.503419999999998</v>
      </c>
      <c r="D90" s="21">
        <v>-83.437399999999997</v>
      </c>
      <c r="E90" s="13">
        <v>45073</v>
      </c>
      <c r="F90" s="13">
        <v>45084</v>
      </c>
      <c r="H90" s="1" t="s">
        <v>25</v>
      </c>
      <c r="I90" s="12" t="s">
        <v>26</v>
      </c>
      <c r="J90" t="s">
        <v>172</v>
      </c>
      <c r="K90" s="6">
        <v>1</v>
      </c>
      <c r="L90" s="13">
        <v>45091</v>
      </c>
      <c r="M90">
        <v>0</v>
      </c>
      <c r="N90">
        <v>2</v>
      </c>
      <c r="O90">
        <v>2</v>
      </c>
      <c r="P90" t="s">
        <v>45</v>
      </c>
      <c r="Q90" s="6" t="s">
        <v>27</v>
      </c>
      <c r="R90" s="6" t="s">
        <v>173</v>
      </c>
      <c r="S90" s="2"/>
      <c r="T90" t="s">
        <v>172</v>
      </c>
      <c r="U90" s="6">
        <v>2</v>
      </c>
      <c r="V90" s="13">
        <v>45098</v>
      </c>
      <c r="W90">
        <v>0</v>
      </c>
      <c r="X90">
        <v>0</v>
      </c>
      <c r="Y90">
        <v>0</v>
      </c>
      <c r="Z90" t="s">
        <v>27</v>
      </c>
      <c r="AA90" s="6" t="s">
        <v>27</v>
      </c>
      <c r="AB90" t="s">
        <v>27</v>
      </c>
      <c r="AD90" t="s">
        <v>172</v>
      </c>
      <c r="AE90" s="1">
        <v>3</v>
      </c>
      <c r="AF90" s="13">
        <v>45105</v>
      </c>
      <c r="AG90">
        <v>4</v>
      </c>
      <c r="AH90">
        <v>3</v>
      </c>
      <c r="AI90">
        <v>7</v>
      </c>
      <c r="AJ90" t="s">
        <v>33</v>
      </c>
      <c r="AK90" s="6" t="s">
        <v>33</v>
      </c>
      <c r="AL90" t="s">
        <v>27</v>
      </c>
      <c r="AN90" t="s">
        <v>172</v>
      </c>
      <c r="AO90" s="1">
        <v>4</v>
      </c>
      <c r="AP90" s="13">
        <v>45112</v>
      </c>
      <c r="AQ90">
        <v>0</v>
      </c>
      <c r="AR90">
        <v>2</v>
      </c>
      <c r="AS90">
        <v>2</v>
      </c>
      <c r="AT90" t="s">
        <v>45</v>
      </c>
      <c r="AU90" s="6" t="s">
        <v>33</v>
      </c>
      <c r="AV90" t="s">
        <v>45</v>
      </c>
      <c r="AX90" t="s">
        <v>172</v>
      </c>
      <c r="AY90" s="1">
        <v>5</v>
      </c>
      <c r="AZ90" s="13">
        <v>45120</v>
      </c>
      <c r="BA90">
        <v>3</v>
      </c>
      <c r="BB90">
        <v>0</v>
      </c>
      <c r="BC90">
        <v>3</v>
      </c>
      <c r="BD90" t="s">
        <v>33</v>
      </c>
      <c r="BE90" s="6" t="s">
        <v>33</v>
      </c>
      <c r="BF90" t="s">
        <v>27</v>
      </c>
      <c r="BG90" s="2" t="s">
        <v>32</v>
      </c>
      <c r="BH90" t="s">
        <v>172</v>
      </c>
      <c r="BI90" s="1">
        <v>6</v>
      </c>
      <c r="BJ90" s="13">
        <v>45126</v>
      </c>
      <c r="BK90">
        <v>3</v>
      </c>
      <c r="BL90">
        <v>1</v>
      </c>
      <c r="BM90">
        <v>4</v>
      </c>
      <c r="BN90" t="s">
        <v>33</v>
      </c>
      <c r="BO90" s="6" t="s">
        <v>33</v>
      </c>
      <c r="BP90" t="s">
        <v>27</v>
      </c>
      <c r="BR90" t="s">
        <v>172</v>
      </c>
      <c r="BS90" s="1">
        <v>7</v>
      </c>
      <c r="BT90" s="13">
        <v>45133</v>
      </c>
      <c r="BU90">
        <v>2</v>
      </c>
      <c r="BV90">
        <v>1</v>
      </c>
      <c r="BW90">
        <v>3</v>
      </c>
      <c r="BX90" s="51" t="s">
        <v>33</v>
      </c>
      <c r="BY90" s="51" t="s">
        <v>33</v>
      </c>
      <c r="BZ90" s="51" t="s">
        <v>27</v>
      </c>
      <c r="CC90" s="36" t="s">
        <v>172</v>
      </c>
      <c r="CD90" s="30">
        <f t="shared" si="2"/>
        <v>21</v>
      </c>
    </row>
    <row r="91" spans="1:82" ht="14.4" x14ac:dyDescent="0.3">
      <c r="A91" t="s">
        <v>174</v>
      </c>
      <c r="B91" t="s">
        <v>96</v>
      </c>
      <c r="C91">
        <v>32.493630000000003</v>
      </c>
      <c r="D91">
        <v>-83.418670000000006</v>
      </c>
      <c r="E91" s="13">
        <v>45081</v>
      </c>
      <c r="F91" s="13">
        <v>45087</v>
      </c>
      <c r="H91" s="1" t="s">
        <v>25</v>
      </c>
      <c r="I91" s="12" t="s">
        <v>26</v>
      </c>
      <c r="J91" t="s">
        <v>174</v>
      </c>
      <c r="K91" s="6">
        <v>1</v>
      </c>
      <c r="L91" s="13">
        <v>45094</v>
      </c>
      <c r="M91">
        <v>0</v>
      </c>
      <c r="N91">
        <v>0</v>
      </c>
      <c r="O91">
        <v>0</v>
      </c>
      <c r="P91" t="s">
        <v>27</v>
      </c>
      <c r="Q91" s="6" t="s">
        <v>27</v>
      </c>
      <c r="R91" s="6" t="s">
        <v>27</v>
      </c>
      <c r="S91" s="2"/>
      <c r="T91" t="s">
        <v>174</v>
      </c>
      <c r="U91" s="6">
        <v>2</v>
      </c>
      <c r="V91" s="13">
        <v>45101</v>
      </c>
      <c r="W91">
        <v>0</v>
      </c>
      <c r="X91">
        <v>0</v>
      </c>
      <c r="Y91">
        <v>0</v>
      </c>
      <c r="Z91" t="s">
        <v>27</v>
      </c>
      <c r="AA91" s="6" t="s">
        <v>27</v>
      </c>
      <c r="AB91" t="s">
        <v>27</v>
      </c>
      <c r="AD91" t="s">
        <v>174</v>
      </c>
      <c r="AE91" s="1">
        <v>3</v>
      </c>
      <c r="AF91" s="13">
        <v>45108</v>
      </c>
      <c r="AG91">
        <v>0</v>
      </c>
      <c r="AH91">
        <v>0</v>
      </c>
      <c r="AI91">
        <v>0</v>
      </c>
      <c r="AJ91" t="s">
        <v>27</v>
      </c>
      <c r="AK91" s="6" t="s">
        <v>27</v>
      </c>
      <c r="AL91" t="s">
        <v>27</v>
      </c>
      <c r="AN91" t="s">
        <v>174</v>
      </c>
      <c r="AO91" s="1">
        <v>4</v>
      </c>
      <c r="AP91" s="13">
        <v>45115</v>
      </c>
      <c r="AQ91">
        <v>0</v>
      </c>
      <c r="AR91">
        <v>0</v>
      </c>
      <c r="AS91">
        <v>0</v>
      </c>
      <c r="AT91" t="s">
        <v>27</v>
      </c>
      <c r="AU91" s="6" t="s">
        <v>27</v>
      </c>
      <c r="AV91" t="s">
        <v>27</v>
      </c>
      <c r="AX91" t="s">
        <v>174</v>
      </c>
      <c r="AY91" s="1">
        <v>5</v>
      </c>
      <c r="AZ91" s="13">
        <v>45122</v>
      </c>
      <c r="BA91">
        <v>0</v>
      </c>
      <c r="BB91">
        <v>0</v>
      </c>
      <c r="BC91">
        <v>0</v>
      </c>
      <c r="BD91" t="s">
        <v>33</v>
      </c>
      <c r="BE91" s="6" t="s">
        <v>45</v>
      </c>
      <c r="BF91" t="s">
        <v>45</v>
      </c>
      <c r="BH91" t="s">
        <v>174</v>
      </c>
      <c r="BI91" s="1">
        <v>6</v>
      </c>
      <c r="BJ91" s="13">
        <v>45129</v>
      </c>
      <c r="BK91">
        <v>0</v>
      </c>
      <c r="BL91">
        <v>0</v>
      </c>
      <c r="BM91">
        <v>0</v>
      </c>
      <c r="BN91" t="s">
        <v>27</v>
      </c>
      <c r="BO91" s="6" t="s">
        <v>27</v>
      </c>
      <c r="BP91" t="s">
        <v>27</v>
      </c>
      <c r="BR91" t="s">
        <v>174</v>
      </c>
      <c r="BS91" s="1">
        <v>7</v>
      </c>
      <c r="BT91" s="13">
        <v>45136</v>
      </c>
      <c r="BU91">
        <v>0</v>
      </c>
      <c r="BV91">
        <v>0</v>
      </c>
      <c r="BW91">
        <v>0</v>
      </c>
      <c r="BX91" s="51" t="s">
        <v>45</v>
      </c>
      <c r="BY91" s="51" t="s">
        <v>33</v>
      </c>
      <c r="BZ91" s="51" t="s">
        <v>45</v>
      </c>
      <c r="CC91" s="36" t="s">
        <v>174</v>
      </c>
      <c r="CD91" s="30">
        <f t="shared" si="2"/>
        <v>0</v>
      </c>
    </row>
    <row r="92" spans="1:82" ht="14.4" x14ac:dyDescent="0.3">
      <c r="A92" t="s">
        <v>175</v>
      </c>
      <c r="B92" t="s">
        <v>96</v>
      </c>
      <c r="C92">
        <v>32.507159999999999</v>
      </c>
      <c r="D92">
        <v>-83.420460000000006</v>
      </c>
      <c r="E92" s="13">
        <v>45081</v>
      </c>
      <c r="F92" s="13">
        <v>45087</v>
      </c>
      <c r="H92" s="1" t="s">
        <v>25</v>
      </c>
      <c r="I92" s="12" t="s">
        <v>26</v>
      </c>
      <c r="J92" t="s">
        <v>175</v>
      </c>
      <c r="K92" s="6">
        <v>1</v>
      </c>
      <c r="L92" s="13">
        <v>45094</v>
      </c>
      <c r="M92">
        <v>0</v>
      </c>
      <c r="N92">
        <v>0</v>
      </c>
      <c r="O92">
        <v>0</v>
      </c>
      <c r="P92" t="s">
        <v>45</v>
      </c>
      <c r="Q92" s="6" t="s">
        <v>33</v>
      </c>
      <c r="R92" s="6" t="s">
        <v>45</v>
      </c>
      <c r="S92" s="2"/>
      <c r="T92" t="s">
        <v>175</v>
      </c>
      <c r="U92" s="6">
        <v>2</v>
      </c>
      <c r="V92" s="13">
        <v>45101</v>
      </c>
      <c r="W92">
        <v>0</v>
      </c>
      <c r="X92">
        <v>0</v>
      </c>
      <c r="Y92">
        <v>0</v>
      </c>
      <c r="Z92" t="s">
        <v>27</v>
      </c>
      <c r="AA92" s="6" t="s">
        <v>27</v>
      </c>
      <c r="AB92" t="s">
        <v>27</v>
      </c>
      <c r="AD92" t="s">
        <v>175</v>
      </c>
      <c r="AE92" s="1">
        <v>3</v>
      </c>
      <c r="AF92" s="13">
        <v>45108</v>
      </c>
      <c r="AG92">
        <v>0</v>
      </c>
      <c r="AH92">
        <v>0</v>
      </c>
      <c r="AI92">
        <v>0</v>
      </c>
      <c r="AJ92" t="s">
        <v>27</v>
      </c>
      <c r="AK92" s="6" t="s">
        <v>27</v>
      </c>
      <c r="AL92" t="s">
        <v>27</v>
      </c>
      <c r="AN92" t="s">
        <v>175</v>
      </c>
      <c r="AO92" s="1">
        <v>4</v>
      </c>
      <c r="AP92" s="13">
        <v>45115</v>
      </c>
      <c r="AQ92">
        <v>0</v>
      </c>
      <c r="AR92">
        <v>0</v>
      </c>
      <c r="AS92">
        <v>0</v>
      </c>
      <c r="AT92" t="s">
        <v>27</v>
      </c>
      <c r="AU92" s="6" t="s">
        <v>27</v>
      </c>
      <c r="AV92" t="s">
        <v>27</v>
      </c>
      <c r="AX92" t="s">
        <v>175</v>
      </c>
      <c r="AY92" s="1">
        <v>5</v>
      </c>
      <c r="AZ92" s="13">
        <v>45122</v>
      </c>
      <c r="BA92">
        <v>0</v>
      </c>
      <c r="BB92">
        <v>0</v>
      </c>
      <c r="BC92">
        <v>0</v>
      </c>
      <c r="BD92" t="s">
        <v>27</v>
      </c>
      <c r="BE92" s="6" t="s">
        <v>27</v>
      </c>
      <c r="BF92" t="s">
        <v>27</v>
      </c>
      <c r="BH92" t="s">
        <v>175</v>
      </c>
      <c r="BI92" s="1">
        <v>6</v>
      </c>
      <c r="BJ92" s="13">
        <v>45129</v>
      </c>
      <c r="BK92">
        <v>1</v>
      </c>
      <c r="BL92">
        <v>0</v>
      </c>
      <c r="BM92">
        <v>1</v>
      </c>
      <c r="BN92" t="s">
        <v>33</v>
      </c>
      <c r="BO92" s="6" t="s">
        <v>33</v>
      </c>
      <c r="BP92" t="s">
        <v>27</v>
      </c>
      <c r="BR92" t="s">
        <v>175</v>
      </c>
      <c r="BS92" s="1">
        <v>7</v>
      </c>
      <c r="BT92" s="13">
        <v>45136</v>
      </c>
      <c r="BU92">
        <v>0</v>
      </c>
      <c r="BV92">
        <v>0</v>
      </c>
      <c r="BW92">
        <v>0</v>
      </c>
      <c r="BX92" s="51" t="s">
        <v>27</v>
      </c>
      <c r="BY92" s="51" t="s">
        <v>27</v>
      </c>
      <c r="BZ92" s="51" t="s">
        <v>27</v>
      </c>
      <c r="CC92" s="36" t="s">
        <v>175</v>
      </c>
      <c r="CD92" s="30">
        <f t="shared" si="2"/>
        <v>1</v>
      </c>
    </row>
    <row r="93" spans="1:82" ht="14.4" x14ac:dyDescent="0.3">
      <c r="A93" t="s">
        <v>176</v>
      </c>
      <c r="B93" t="s">
        <v>87</v>
      </c>
      <c r="C93">
        <v>32.522709999999996</v>
      </c>
      <c r="D93">
        <v>-83.499769999999998</v>
      </c>
      <c r="E93" s="13">
        <v>45074</v>
      </c>
      <c r="F93" s="13">
        <v>45083</v>
      </c>
      <c r="H93" s="1" t="s">
        <v>25</v>
      </c>
      <c r="I93" s="12" t="s">
        <v>26</v>
      </c>
      <c r="J93" t="s">
        <v>176</v>
      </c>
      <c r="K93" s="6">
        <v>1</v>
      </c>
      <c r="L93" s="13">
        <v>45090</v>
      </c>
      <c r="M93">
        <v>0</v>
      </c>
      <c r="N93">
        <v>0</v>
      </c>
      <c r="O93">
        <v>0</v>
      </c>
      <c r="P93" t="s">
        <v>27</v>
      </c>
      <c r="Q93" s="6" t="s">
        <v>27</v>
      </c>
      <c r="R93" s="6" t="s">
        <v>27</v>
      </c>
      <c r="S93" s="2"/>
      <c r="T93" t="s">
        <v>176</v>
      </c>
      <c r="U93" s="6">
        <v>2</v>
      </c>
      <c r="V93" s="13">
        <v>45097</v>
      </c>
      <c r="W93">
        <v>0</v>
      </c>
      <c r="X93">
        <v>0</v>
      </c>
      <c r="Y93">
        <v>0</v>
      </c>
      <c r="Z93" t="s">
        <v>27</v>
      </c>
      <c r="AA93" s="6" t="s">
        <v>27</v>
      </c>
      <c r="AB93" t="s">
        <v>27</v>
      </c>
      <c r="AD93" t="s">
        <v>176</v>
      </c>
      <c r="AE93" s="1">
        <v>3</v>
      </c>
      <c r="AF93" s="13">
        <v>45104</v>
      </c>
      <c r="AG93">
        <v>0</v>
      </c>
      <c r="AH93">
        <v>0</v>
      </c>
      <c r="AI93">
        <v>0</v>
      </c>
      <c r="AJ93" t="s">
        <v>27</v>
      </c>
      <c r="AK93" s="6" t="s">
        <v>27</v>
      </c>
      <c r="AL93" t="s">
        <v>27</v>
      </c>
      <c r="AN93" t="s">
        <v>176</v>
      </c>
      <c r="AO93" s="1">
        <v>4</v>
      </c>
      <c r="AP93" s="13">
        <v>45111</v>
      </c>
      <c r="AQ93">
        <v>0</v>
      </c>
      <c r="AR93">
        <v>0</v>
      </c>
      <c r="AS93">
        <v>0</v>
      </c>
      <c r="AT93" t="s">
        <v>27</v>
      </c>
      <c r="AU93" s="6" t="s">
        <v>27</v>
      </c>
      <c r="AV93" t="s">
        <v>27</v>
      </c>
      <c r="AX93" t="s">
        <v>176</v>
      </c>
      <c r="AY93" s="1">
        <v>5</v>
      </c>
      <c r="AZ93" s="13">
        <v>45118</v>
      </c>
      <c r="BA93">
        <v>0</v>
      </c>
      <c r="BB93">
        <v>0</v>
      </c>
      <c r="BC93">
        <v>0</v>
      </c>
      <c r="BD93" t="s">
        <v>27</v>
      </c>
      <c r="BE93" s="6" t="s">
        <v>27</v>
      </c>
      <c r="BF93" t="s">
        <v>27</v>
      </c>
      <c r="BH93" t="s">
        <v>176</v>
      </c>
      <c r="BI93" s="1">
        <v>6</v>
      </c>
      <c r="BJ93" s="13">
        <v>45125</v>
      </c>
      <c r="BK93">
        <v>0</v>
      </c>
      <c r="BL93">
        <v>0</v>
      </c>
      <c r="BM93">
        <v>0</v>
      </c>
      <c r="BN93" t="s">
        <v>27</v>
      </c>
      <c r="BO93" s="6" t="s">
        <v>27</v>
      </c>
      <c r="BP93" t="s">
        <v>27</v>
      </c>
      <c r="BR93" t="s">
        <v>176</v>
      </c>
      <c r="BS93" s="1">
        <v>7</v>
      </c>
      <c r="BT93" s="13">
        <v>45132</v>
      </c>
      <c r="BU93">
        <v>0</v>
      </c>
      <c r="BV93">
        <v>0</v>
      </c>
      <c r="BW93">
        <v>0</v>
      </c>
      <c r="BX93" s="51" t="s">
        <v>27</v>
      </c>
      <c r="BY93" s="51" t="s">
        <v>27</v>
      </c>
      <c r="BZ93" s="51" t="s">
        <v>27</v>
      </c>
      <c r="CC93" s="36" t="s">
        <v>176</v>
      </c>
      <c r="CD93" s="30">
        <f t="shared" si="2"/>
        <v>0</v>
      </c>
    </row>
    <row r="94" spans="1:82" ht="14.4" x14ac:dyDescent="0.3">
      <c r="A94" t="s">
        <v>177</v>
      </c>
      <c r="B94" t="s">
        <v>178</v>
      </c>
      <c r="C94">
        <v>32.517409999999998</v>
      </c>
      <c r="D94">
        <v>-83.488569999999996</v>
      </c>
      <c r="E94" s="13">
        <v>45074</v>
      </c>
      <c r="F94" s="13">
        <v>45083</v>
      </c>
      <c r="H94" s="1" t="s">
        <v>25</v>
      </c>
      <c r="I94" s="12" t="s">
        <v>26</v>
      </c>
      <c r="J94" t="s">
        <v>177</v>
      </c>
      <c r="K94" s="6">
        <v>1</v>
      </c>
      <c r="L94" s="13">
        <v>45090</v>
      </c>
      <c r="M94">
        <v>0</v>
      </c>
      <c r="N94">
        <v>0</v>
      </c>
      <c r="O94">
        <v>0</v>
      </c>
      <c r="P94" t="s">
        <v>27</v>
      </c>
      <c r="Q94" s="6" t="s">
        <v>27</v>
      </c>
      <c r="R94" s="6" t="s">
        <v>27</v>
      </c>
      <c r="S94" s="2"/>
      <c r="T94" t="s">
        <v>177</v>
      </c>
      <c r="U94" s="6">
        <v>2</v>
      </c>
      <c r="V94" s="13">
        <v>45097</v>
      </c>
      <c r="W94">
        <v>0</v>
      </c>
      <c r="X94">
        <v>0</v>
      </c>
      <c r="Y94">
        <v>0</v>
      </c>
      <c r="Z94" t="s">
        <v>27</v>
      </c>
      <c r="AA94" s="6" t="s">
        <v>27</v>
      </c>
      <c r="AB94" t="s">
        <v>27</v>
      </c>
      <c r="AD94" t="s">
        <v>177</v>
      </c>
      <c r="AE94" s="1">
        <v>3</v>
      </c>
      <c r="AF94" s="13">
        <v>45104</v>
      </c>
      <c r="AG94">
        <v>0</v>
      </c>
      <c r="AH94">
        <v>0</v>
      </c>
      <c r="AI94">
        <v>0</v>
      </c>
      <c r="AJ94" t="s">
        <v>27</v>
      </c>
      <c r="AK94" s="6" t="s">
        <v>27</v>
      </c>
      <c r="AL94" t="s">
        <v>27</v>
      </c>
      <c r="AN94" t="s">
        <v>177</v>
      </c>
      <c r="AO94" s="1">
        <v>4</v>
      </c>
      <c r="AP94" s="13">
        <v>45111</v>
      </c>
      <c r="AQ94">
        <v>0</v>
      </c>
      <c r="AR94">
        <v>0</v>
      </c>
      <c r="AS94">
        <v>0</v>
      </c>
      <c r="AT94" t="s">
        <v>27</v>
      </c>
      <c r="AU94" s="6" t="s">
        <v>27</v>
      </c>
      <c r="AV94" t="s">
        <v>27</v>
      </c>
      <c r="AX94" t="s">
        <v>177</v>
      </c>
      <c r="AY94" s="1">
        <v>5</v>
      </c>
      <c r="AZ94" s="13">
        <v>45118</v>
      </c>
      <c r="BA94">
        <v>0</v>
      </c>
      <c r="BB94">
        <v>0</v>
      </c>
      <c r="BC94">
        <v>0</v>
      </c>
      <c r="BD94" t="s">
        <v>27</v>
      </c>
      <c r="BE94" s="6" t="s">
        <v>27</v>
      </c>
      <c r="BF94" t="s">
        <v>27</v>
      </c>
      <c r="BH94" t="s">
        <v>177</v>
      </c>
      <c r="BI94" s="1">
        <v>6</v>
      </c>
      <c r="BJ94" s="13">
        <v>45125</v>
      </c>
      <c r="BK94">
        <v>0</v>
      </c>
      <c r="BL94">
        <v>0</v>
      </c>
      <c r="BM94">
        <v>0</v>
      </c>
      <c r="BN94" t="s">
        <v>27</v>
      </c>
      <c r="BO94" s="6" t="s">
        <v>27</v>
      </c>
      <c r="BP94" t="s">
        <v>27</v>
      </c>
      <c r="BR94" t="s">
        <v>177</v>
      </c>
      <c r="BS94" s="1">
        <v>7</v>
      </c>
      <c r="BT94" s="13">
        <v>45132</v>
      </c>
      <c r="BU94">
        <v>0</v>
      </c>
      <c r="BV94">
        <v>0</v>
      </c>
      <c r="BW94">
        <v>0</v>
      </c>
      <c r="BX94" s="51" t="s">
        <v>27</v>
      </c>
      <c r="BY94" s="51" t="s">
        <v>27</v>
      </c>
      <c r="BZ94" s="51" t="s">
        <v>27</v>
      </c>
      <c r="CC94" s="36" t="s">
        <v>177</v>
      </c>
      <c r="CD94" s="30">
        <f t="shared" si="2"/>
        <v>0</v>
      </c>
    </row>
    <row r="95" spans="1:82" s="14" customFormat="1" ht="14.4" x14ac:dyDescent="0.3">
      <c r="A95" s="14" t="s">
        <v>179</v>
      </c>
      <c r="B95" s="14" t="s">
        <v>163</v>
      </c>
      <c r="G95" s="15"/>
      <c r="H95" s="16" t="s">
        <v>25</v>
      </c>
      <c r="I95" s="17" t="s">
        <v>26</v>
      </c>
      <c r="J95" s="14" t="s">
        <v>179</v>
      </c>
      <c r="K95" s="15">
        <v>1</v>
      </c>
      <c r="Q95" s="15"/>
      <c r="R95" s="15"/>
      <c r="S95" s="18"/>
      <c r="T95" s="14" t="s">
        <v>179</v>
      </c>
      <c r="U95" s="15">
        <v>2</v>
      </c>
      <c r="AA95" s="15"/>
      <c r="AC95" s="18"/>
      <c r="AD95" s="14" t="s">
        <v>179</v>
      </c>
      <c r="AE95" s="16">
        <v>3</v>
      </c>
      <c r="AK95" s="15"/>
      <c r="AM95" s="18"/>
      <c r="AN95" s="14" t="s">
        <v>179</v>
      </c>
      <c r="AO95" s="16">
        <v>4</v>
      </c>
      <c r="AU95" s="15"/>
      <c r="AW95" s="18"/>
      <c r="AX95" s="14" t="s">
        <v>179</v>
      </c>
      <c r="AY95" s="16">
        <v>5</v>
      </c>
      <c r="BE95" s="15"/>
      <c r="BG95" s="18"/>
      <c r="BH95" s="14" t="s">
        <v>179</v>
      </c>
      <c r="BI95" s="16">
        <v>6</v>
      </c>
      <c r="BO95" s="15"/>
      <c r="BQ95" s="18"/>
      <c r="BR95" s="14" t="s">
        <v>179</v>
      </c>
      <c r="BS95" s="16">
        <v>7</v>
      </c>
      <c r="BX95" s="52"/>
      <c r="BY95" s="52"/>
      <c r="BZ95" s="52"/>
      <c r="CA95" s="18"/>
      <c r="CC95" s="39" t="s">
        <v>179</v>
      </c>
      <c r="CD95" s="40">
        <f t="shared" si="2"/>
        <v>0</v>
      </c>
    </row>
    <row r="96" spans="1:82" ht="14.4" x14ac:dyDescent="0.3">
      <c r="A96" t="s">
        <v>180</v>
      </c>
      <c r="B96" t="s">
        <v>169</v>
      </c>
      <c r="C96">
        <v>32.517910000000001</v>
      </c>
      <c r="D96">
        <v>-83.458250000000007</v>
      </c>
      <c r="E96" s="13">
        <v>45080</v>
      </c>
      <c r="F96" s="13">
        <v>45087</v>
      </c>
      <c r="H96" s="1" t="s">
        <v>25</v>
      </c>
      <c r="I96" s="12" t="s">
        <v>26</v>
      </c>
      <c r="J96" t="s">
        <v>180</v>
      </c>
      <c r="K96" s="6">
        <v>1</v>
      </c>
      <c r="L96" s="13">
        <v>45094</v>
      </c>
      <c r="M96">
        <v>0</v>
      </c>
      <c r="N96">
        <v>0</v>
      </c>
      <c r="O96">
        <v>0</v>
      </c>
      <c r="P96" t="s">
        <v>27</v>
      </c>
      <c r="Q96" s="6" t="s">
        <v>27</v>
      </c>
      <c r="R96" s="6" t="s">
        <v>27</v>
      </c>
      <c r="S96" s="2"/>
      <c r="T96" t="s">
        <v>180</v>
      </c>
      <c r="U96" s="6">
        <v>2</v>
      </c>
      <c r="V96" s="13">
        <v>45101</v>
      </c>
      <c r="W96">
        <v>0</v>
      </c>
      <c r="X96">
        <v>0</v>
      </c>
      <c r="Y96">
        <v>0</v>
      </c>
      <c r="Z96" t="s">
        <v>27</v>
      </c>
      <c r="AA96" s="6" t="s">
        <v>27</v>
      </c>
      <c r="AB96" t="s">
        <v>27</v>
      </c>
      <c r="AD96" t="s">
        <v>180</v>
      </c>
      <c r="AE96" s="1">
        <v>3</v>
      </c>
      <c r="AF96" s="13">
        <v>45108</v>
      </c>
      <c r="AG96">
        <v>0</v>
      </c>
      <c r="AH96">
        <v>0</v>
      </c>
      <c r="AI96">
        <v>0</v>
      </c>
      <c r="AJ96" t="s">
        <v>45</v>
      </c>
      <c r="AK96" s="6" t="s">
        <v>33</v>
      </c>
      <c r="AL96" t="s">
        <v>45</v>
      </c>
      <c r="AN96" t="s">
        <v>180</v>
      </c>
      <c r="AO96" s="1">
        <v>4</v>
      </c>
      <c r="AP96" s="13">
        <v>45115</v>
      </c>
      <c r="AQ96">
        <v>0</v>
      </c>
      <c r="AR96">
        <v>3</v>
      </c>
      <c r="AS96">
        <v>3</v>
      </c>
      <c r="AT96" t="s">
        <v>33</v>
      </c>
      <c r="AU96" s="6" t="s">
        <v>33</v>
      </c>
      <c r="AV96" t="s">
        <v>27</v>
      </c>
      <c r="AX96" t="s">
        <v>180</v>
      </c>
      <c r="AY96" s="1">
        <v>5</v>
      </c>
      <c r="AZ96" s="13">
        <v>45122</v>
      </c>
      <c r="BA96">
        <v>0</v>
      </c>
      <c r="BB96">
        <v>0</v>
      </c>
      <c r="BC96">
        <v>0</v>
      </c>
      <c r="BD96" t="s">
        <v>45</v>
      </c>
      <c r="BE96" s="6" t="s">
        <v>33</v>
      </c>
      <c r="BF96" t="s">
        <v>45</v>
      </c>
      <c r="BH96" t="s">
        <v>180</v>
      </c>
      <c r="BI96" s="1">
        <v>6</v>
      </c>
      <c r="BJ96" s="13">
        <v>45129</v>
      </c>
      <c r="BK96">
        <v>0</v>
      </c>
      <c r="BL96">
        <v>0</v>
      </c>
      <c r="BM96">
        <v>0</v>
      </c>
      <c r="BN96" t="s">
        <v>45</v>
      </c>
      <c r="BO96" s="1" t="s">
        <v>33</v>
      </c>
      <c r="BP96" t="s">
        <v>45</v>
      </c>
      <c r="BR96" t="s">
        <v>180</v>
      </c>
      <c r="BS96" s="1">
        <v>7</v>
      </c>
      <c r="BT96" s="13">
        <v>45136</v>
      </c>
      <c r="BU96">
        <v>0</v>
      </c>
      <c r="BV96">
        <v>0</v>
      </c>
      <c r="BW96">
        <v>0</v>
      </c>
      <c r="BX96" s="51" t="s">
        <v>45</v>
      </c>
      <c r="BY96" s="51" t="s">
        <v>33</v>
      </c>
      <c r="BZ96" s="51" t="s">
        <v>45</v>
      </c>
      <c r="CC96" s="36" t="s">
        <v>180</v>
      </c>
      <c r="CD96" s="30">
        <f t="shared" si="2"/>
        <v>3</v>
      </c>
    </row>
    <row r="97" spans="1:82" ht="14.4" x14ac:dyDescent="0.3">
      <c r="A97" t="s">
        <v>181</v>
      </c>
      <c r="B97" t="s">
        <v>96</v>
      </c>
      <c r="C97">
        <v>32.519019999999998</v>
      </c>
      <c r="D97">
        <v>-83.433920000000001</v>
      </c>
      <c r="E97" s="13">
        <v>45081</v>
      </c>
      <c r="F97" s="13">
        <v>45087</v>
      </c>
      <c r="H97" s="1" t="s">
        <v>25</v>
      </c>
      <c r="I97" s="12" t="s">
        <v>26</v>
      </c>
      <c r="J97" t="s">
        <v>181</v>
      </c>
      <c r="K97" s="6">
        <v>1</v>
      </c>
      <c r="L97" s="13">
        <v>45094</v>
      </c>
      <c r="M97">
        <v>0</v>
      </c>
      <c r="N97">
        <v>0</v>
      </c>
      <c r="O97">
        <v>0</v>
      </c>
      <c r="P97" t="s">
        <v>27</v>
      </c>
      <c r="Q97" s="6" t="s">
        <v>27</v>
      </c>
      <c r="R97" s="6" t="s">
        <v>27</v>
      </c>
      <c r="S97" s="2"/>
      <c r="T97" t="s">
        <v>181</v>
      </c>
      <c r="U97" s="6">
        <v>2</v>
      </c>
      <c r="V97" s="13">
        <v>45101</v>
      </c>
      <c r="W97">
        <v>2</v>
      </c>
      <c r="X97">
        <v>2</v>
      </c>
      <c r="Y97">
        <v>4</v>
      </c>
      <c r="Z97" t="s">
        <v>33</v>
      </c>
      <c r="AA97" s="6" t="s">
        <v>33</v>
      </c>
      <c r="AB97" t="s">
        <v>27</v>
      </c>
      <c r="AD97" t="s">
        <v>181</v>
      </c>
      <c r="AE97" s="1">
        <v>3</v>
      </c>
      <c r="AF97" s="13">
        <v>45108</v>
      </c>
      <c r="AG97">
        <v>3</v>
      </c>
      <c r="AH97">
        <v>3</v>
      </c>
      <c r="AI97">
        <v>6</v>
      </c>
      <c r="AJ97" t="s">
        <v>33</v>
      </c>
      <c r="AK97" s="6" t="s">
        <v>33</v>
      </c>
      <c r="AL97" t="s">
        <v>27</v>
      </c>
      <c r="AN97" t="s">
        <v>181</v>
      </c>
      <c r="AO97" s="1">
        <v>4</v>
      </c>
      <c r="AP97" s="13">
        <v>45115</v>
      </c>
      <c r="AQ97">
        <v>0</v>
      </c>
      <c r="AR97">
        <v>0</v>
      </c>
      <c r="AS97">
        <v>0</v>
      </c>
      <c r="AT97" t="s">
        <v>27</v>
      </c>
      <c r="AU97" s="6" t="s">
        <v>27</v>
      </c>
      <c r="AV97" t="s">
        <v>27</v>
      </c>
      <c r="AX97" t="s">
        <v>181</v>
      </c>
      <c r="AY97" s="1">
        <v>5</v>
      </c>
      <c r="AZ97" s="13">
        <v>45122</v>
      </c>
      <c r="BA97">
        <v>1</v>
      </c>
      <c r="BB97">
        <v>0</v>
      </c>
      <c r="BC97">
        <v>1</v>
      </c>
      <c r="BD97" t="s">
        <v>33</v>
      </c>
      <c r="BE97" s="6" t="s">
        <v>33</v>
      </c>
      <c r="BF97" t="s">
        <v>27</v>
      </c>
      <c r="BH97" t="s">
        <v>181</v>
      </c>
      <c r="BI97" s="1">
        <v>6</v>
      </c>
      <c r="BJ97" s="13">
        <v>45129</v>
      </c>
      <c r="BK97">
        <v>5</v>
      </c>
      <c r="BL97">
        <v>0</v>
      </c>
      <c r="BM97">
        <v>5</v>
      </c>
      <c r="BN97" t="s">
        <v>33</v>
      </c>
      <c r="BO97" s="6" t="s">
        <v>33</v>
      </c>
      <c r="BP97" t="s">
        <v>27</v>
      </c>
      <c r="BR97" t="s">
        <v>181</v>
      </c>
      <c r="BS97" s="1">
        <v>7</v>
      </c>
      <c r="BT97" s="13">
        <v>45136</v>
      </c>
      <c r="BU97">
        <v>2</v>
      </c>
      <c r="BV97">
        <v>0</v>
      </c>
      <c r="BW97">
        <v>2</v>
      </c>
      <c r="BX97" s="51" t="s">
        <v>33</v>
      </c>
      <c r="BY97" s="51" t="s">
        <v>33</v>
      </c>
      <c r="BZ97" s="51" t="s">
        <v>27</v>
      </c>
      <c r="CC97" s="36" t="s">
        <v>181</v>
      </c>
      <c r="CD97" s="30">
        <f t="shared" si="2"/>
        <v>18</v>
      </c>
    </row>
    <row r="98" spans="1:82" ht="14.4" x14ac:dyDescent="0.3">
      <c r="A98" t="s">
        <v>182</v>
      </c>
      <c r="B98" s="26" t="s">
        <v>183</v>
      </c>
      <c r="C98">
        <v>32.532809999999998</v>
      </c>
      <c r="D98">
        <v>-83.491720000000001</v>
      </c>
      <c r="E98" s="13">
        <v>45074</v>
      </c>
      <c r="F98" s="13">
        <v>45083</v>
      </c>
      <c r="H98" s="1" t="s">
        <v>25</v>
      </c>
      <c r="I98" s="12" t="s">
        <v>26</v>
      </c>
      <c r="J98" t="s">
        <v>182</v>
      </c>
      <c r="K98" s="6">
        <v>1</v>
      </c>
      <c r="L98" s="13">
        <v>45090</v>
      </c>
      <c r="M98">
        <v>0</v>
      </c>
      <c r="N98">
        <v>0</v>
      </c>
      <c r="O98">
        <v>0</v>
      </c>
      <c r="P98" t="s">
        <v>27</v>
      </c>
      <c r="Q98" s="6" t="s">
        <v>27</v>
      </c>
      <c r="R98" s="6" t="s">
        <v>27</v>
      </c>
      <c r="S98" s="2"/>
      <c r="T98" t="s">
        <v>182</v>
      </c>
      <c r="U98" s="6">
        <v>2</v>
      </c>
      <c r="V98" s="13">
        <v>45097</v>
      </c>
      <c r="W98">
        <v>0</v>
      </c>
      <c r="X98">
        <v>0</v>
      </c>
      <c r="Y98">
        <v>0</v>
      </c>
      <c r="Z98" t="s">
        <v>27</v>
      </c>
      <c r="AA98" s="6" t="s">
        <v>27</v>
      </c>
      <c r="AB98" t="s">
        <v>27</v>
      </c>
      <c r="AD98" t="s">
        <v>182</v>
      </c>
      <c r="AE98" s="1">
        <v>3</v>
      </c>
      <c r="AF98" s="13">
        <v>45104</v>
      </c>
      <c r="AG98">
        <v>0</v>
      </c>
      <c r="AH98">
        <v>0</v>
      </c>
      <c r="AI98">
        <v>0</v>
      </c>
      <c r="AJ98" t="s">
        <v>27</v>
      </c>
      <c r="AK98" s="6" t="s">
        <v>27</v>
      </c>
      <c r="AL98" t="s">
        <v>27</v>
      </c>
      <c r="AN98" t="s">
        <v>182</v>
      </c>
      <c r="AO98" s="1">
        <v>4</v>
      </c>
      <c r="AP98" s="13">
        <v>45111</v>
      </c>
      <c r="AQ98">
        <v>0</v>
      </c>
      <c r="AR98">
        <v>0</v>
      </c>
      <c r="AS98">
        <v>0</v>
      </c>
      <c r="AT98" t="s">
        <v>27</v>
      </c>
      <c r="AU98" s="6" t="s">
        <v>27</v>
      </c>
      <c r="AV98" t="s">
        <v>27</v>
      </c>
      <c r="AX98" t="s">
        <v>182</v>
      </c>
      <c r="AY98" s="1">
        <v>5</v>
      </c>
      <c r="AZ98" s="13">
        <v>45118</v>
      </c>
      <c r="BA98">
        <v>0</v>
      </c>
      <c r="BB98">
        <v>0</v>
      </c>
      <c r="BC98">
        <v>0</v>
      </c>
      <c r="BD98" t="s">
        <v>27</v>
      </c>
      <c r="BE98" s="6" t="s">
        <v>27</v>
      </c>
      <c r="BF98" t="s">
        <v>27</v>
      </c>
      <c r="BH98" t="s">
        <v>182</v>
      </c>
      <c r="BI98" s="1">
        <v>6</v>
      </c>
      <c r="BJ98" s="13">
        <v>45125</v>
      </c>
      <c r="BK98">
        <v>0</v>
      </c>
      <c r="BL98">
        <v>0</v>
      </c>
      <c r="BM98">
        <v>0</v>
      </c>
      <c r="BN98" t="s">
        <v>27</v>
      </c>
      <c r="BO98" s="6" t="s">
        <v>27</v>
      </c>
      <c r="BP98" t="s">
        <v>27</v>
      </c>
      <c r="BR98" t="s">
        <v>182</v>
      </c>
      <c r="BS98" s="1">
        <v>7</v>
      </c>
      <c r="BT98" s="13">
        <v>45132</v>
      </c>
      <c r="BU98">
        <v>0</v>
      </c>
      <c r="BV98">
        <v>0</v>
      </c>
      <c r="BW98">
        <v>0</v>
      </c>
      <c r="BX98" s="51" t="s">
        <v>27</v>
      </c>
      <c r="BY98" s="51" t="s">
        <v>27</v>
      </c>
      <c r="BZ98" s="51" t="s">
        <v>27</v>
      </c>
      <c r="CC98" s="36" t="s">
        <v>182</v>
      </c>
      <c r="CD98" s="30">
        <f t="shared" si="2"/>
        <v>0</v>
      </c>
    </row>
    <row r="99" spans="1:82" ht="14.4" x14ac:dyDescent="0.3">
      <c r="A99" t="s">
        <v>184</v>
      </c>
      <c r="B99" s="26" t="s">
        <v>183</v>
      </c>
      <c r="C99">
        <v>32.539909999999999</v>
      </c>
      <c r="D99">
        <v>-83.475880000000004</v>
      </c>
      <c r="E99" s="13">
        <v>45064</v>
      </c>
      <c r="F99" s="13">
        <v>45086</v>
      </c>
      <c r="H99" s="1" t="s">
        <v>25</v>
      </c>
      <c r="I99" s="12" t="s">
        <v>26</v>
      </c>
      <c r="J99" t="s">
        <v>184</v>
      </c>
      <c r="K99" s="6">
        <v>1</v>
      </c>
      <c r="L99" s="13">
        <v>45093</v>
      </c>
      <c r="M99">
        <v>0</v>
      </c>
      <c r="N99">
        <v>0</v>
      </c>
      <c r="O99">
        <v>0</v>
      </c>
      <c r="P99" t="s">
        <v>27</v>
      </c>
      <c r="Q99" s="6" t="s">
        <v>27</v>
      </c>
      <c r="R99" s="6" t="s">
        <v>27</v>
      </c>
      <c r="S99" s="2"/>
      <c r="T99" t="s">
        <v>184</v>
      </c>
      <c r="U99" s="6">
        <v>2</v>
      </c>
      <c r="V99" s="13">
        <v>45100</v>
      </c>
      <c r="W99">
        <v>0</v>
      </c>
      <c r="X99">
        <v>0</v>
      </c>
      <c r="Y99">
        <v>0</v>
      </c>
      <c r="Z99" t="s">
        <v>27</v>
      </c>
      <c r="AA99" s="6" t="s">
        <v>27</v>
      </c>
      <c r="AB99" t="s">
        <v>27</v>
      </c>
      <c r="AD99" t="s">
        <v>184</v>
      </c>
      <c r="AE99" s="1">
        <v>3</v>
      </c>
      <c r="AF99" s="13">
        <v>45107</v>
      </c>
      <c r="AG99">
        <v>0</v>
      </c>
      <c r="AH99">
        <v>0</v>
      </c>
      <c r="AI99">
        <v>0</v>
      </c>
      <c r="AJ99" t="s">
        <v>27</v>
      </c>
      <c r="AK99" s="6" t="s">
        <v>27</v>
      </c>
      <c r="AL99" t="s">
        <v>27</v>
      </c>
      <c r="AN99" t="s">
        <v>184</v>
      </c>
      <c r="AO99" s="1">
        <v>4</v>
      </c>
      <c r="AP99" s="13">
        <v>45114</v>
      </c>
      <c r="AQ99">
        <v>0</v>
      </c>
      <c r="AR99">
        <v>0</v>
      </c>
      <c r="AS99">
        <v>0</v>
      </c>
      <c r="AT99" t="s">
        <v>27</v>
      </c>
      <c r="AU99" s="6" t="s">
        <v>27</v>
      </c>
      <c r="AV99" t="s">
        <v>27</v>
      </c>
      <c r="AX99" t="s">
        <v>184</v>
      </c>
      <c r="AY99" s="1">
        <v>5</v>
      </c>
      <c r="AZ99" s="13">
        <v>45119</v>
      </c>
      <c r="BA99">
        <v>0</v>
      </c>
      <c r="BB99">
        <v>0</v>
      </c>
      <c r="BC99">
        <v>0</v>
      </c>
      <c r="BD99" t="s">
        <v>27</v>
      </c>
      <c r="BE99" s="6" t="s">
        <v>27</v>
      </c>
      <c r="BF99" t="s">
        <v>27</v>
      </c>
      <c r="BH99" t="s">
        <v>184</v>
      </c>
      <c r="BI99" s="1">
        <v>6</v>
      </c>
      <c r="BJ99" s="13">
        <v>45128</v>
      </c>
      <c r="BK99">
        <v>0</v>
      </c>
      <c r="BL99">
        <v>0</v>
      </c>
      <c r="BM99">
        <v>0</v>
      </c>
      <c r="BN99" t="s">
        <v>27</v>
      </c>
      <c r="BO99" s="6" t="s">
        <v>27</v>
      </c>
      <c r="BP99" t="s">
        <v>27</v>
      </c>
      <c r="BR99" t="s">
        <v>184</v>
      </c>
      <c r="BS99" s="1">
        <v>7</v>
      </c>
      <c r="BT99" s="13">
        <v>45135</v>
      </c>
      <c r="BU99">
        <v>0</v>
      </c>
      <c r="BV99">
        <v>0</v>
      </c>
      <c r="BW99">
        <v>0</v>
      </c>
      <c r="BX99" s="51" t="s">
        <v>27</v>
      </c>
      <c r="BY99" s="51" t="s">
        <v>27</v>
      </c>
      <c r="BZ99" s="51" t="s">
        <v>27</v>
      </c>
      <c r="CC99" s="36" t="s">
        <v>184</v>
      </c>
      <c r="CD99" s="30">
        <f t="shared" si="2"/>
        <v>0</v>
      </c>
    </row>
    <row r="100" spans="1:82" ht="14.4" x14ac:dyDescent="0.3">
      <c r="A100" t="s">
        <v>185</v>
      </c>
      <c r="B100" s="26" t="s">
        <v>183</v>
      </c>
      <c r="C100">
        <v>32.527979999999999</v>
      </c>
      <c r="D100" s="21">
        <v>-83.4726</v>
      </c>
      <c r="E100" s="13">
        <v>45074</v>
      </c>
      <c r="F100" s="13">
        <v>45083</v>
      </c>
      <c r="H100" s="1" t="s">
        <v>25</v>
      </c>
      <c r="I100" s="12" t="s">
        <v>26</v>
      </c>
      <c r="J100" t="s">
        <v>185</v>
      </c>
      <c r="K100" s="6">
        <v>1</v>
      </c>
      <c r="L100" s="13">
        <v>45090</v>
      </c>
      <c r="M100">
        <v>0</v>
      </c>
      <c r="N100">
        <v>0</v>
      </c>
      <c r="O100">
        <v>0</v>
      </c>
      <c r="P100" t="s">
        <v>27</v>
      </c>
      <c r="Q100" s="6" t="s">
        <v>27</v>
      </c>
      <c r="R100" s="6" t="s">
        <v>27</v>
      </c>
      <c r="S100" s="2"/>
      <c r="T100" t="s">
        <v>185</v>
      </c>
      <c r="U100" s="6">
        <v>2</v>
      </c>
      <c r="V100" s="13">
        <v>45097</v>
      </c>
      <c r="W100">
        <v>0</v>
      </c>
      <c r="X100">
        <v>0</v>
      </c>
      <c r="Y100">
        <v>0</v>
      </c>
      <c r="Z100" t="s">
        <v>27</v>
      </c>
      <c r="AA100" s="6" t="s">
        <v>27</v>
      </c>
      <c r="AB100" t="s">
        <v>27</v>
      </c>
      <c r="AD100" t="s">
        <v>185</v>
      </c>
      <c r="AE100" s="1">
        <v>3</v>
      </c>
      <c r="AF100" s="13">
        <v>45104</v>
      </c>
      <c r="AG100">
        <v>0</v>
      </c>
      <c r="AH100">
        <v>0</v>
      </c>
      <c r="AI100">
        <v>0</v>
      </c>
      <c r="AJ100" t="s">
        <v>27</v>
      </c>
      <c r="AK100" s="6" t="s">
        <v>27</v>
      </c>
      <c r="AL100" t="s">
        <v>27</v>
      </c>
      <c r="AN100" t="s">
        <v>185</v>
      </c>
      <c r="AO100" s="1">
        <v>4</v>
      </c>
      <c r="AP100" s="13">
        <v>45111</v>
      </c>
      <c r="AQ100">
        <v>0</v>
      </c>
      <c r="AR100">
        <v>0</v>
      </c>
      <c r="AS100">
        <v>0</v>
      </c>
      <c r="AT100" t="s">
        <v>27</v>
      </c>
      <c r="AU100" s="6" t="s">
        <v>27</v>
      </c>
      <c r="AV100" t="s">
        <v>27</v>
      </c>
      <c r="AX100" t="s">
        <v>185</v>
      </c>
      <c r="AY100" s="1">
        <v>5</v>
      </c>
      <c r="AZ100" s="13">
        <v>45118</v>
      </c>
      <c r="BA100">
        <v>0</v>
      </c>
      <c r="BB100">
        <v>0</v>
      </c>
      <c r="BC100">
        <v>0</v>
      </c>
      <c r="BD100" t="s">
        <v>27</v>
      </c>
      <c r="BE100" s="6" t="s">
        <v>27</v>
      </c>
      <c r="BF100" t="s">
        <v>27</v>
      </c>
      <c r="BH100" t="s">
        <v>185</v>
      </c>
      <c r="BI100" s="1">
        <v>6</v>
      </c>
      <c r="BJ100" s="13">
        <v>45125</v>
      </c>
      <c r="BK100">
        <v>0</v>
      </c>
      <c r="BL100">
        <v>0</v>
      </c>
      <c r="BM100">
        <v>0</v>
      </c>
      <c r="BN100" t="s">
        <v>27</v>
      </c>
      <c r="BO100" s="6" t="s">
        <v>27</v>
      </c>
      <c r="BP100" t="s">
        <v>27</v>
      </c>
      <c r="BR100" t="s">
        <v>185</v>
      </c>
      <c r="BS100" s="1">
        <v>7</v>
      </c>
      <c r="BT100" s="13">
        <v>45132</v>
      </c>
      <c r="BU100">
        <v>0</v>
      </c>
      <c r="BV100">
        <v>0</v>
      </c>
      <c r="BW100">
        <v>0</v>
      </c>
      <c r="BX100" s="51" t="s">
        <v>27</v>
      </c>
      <c r="BY100" s="51" t="s">
        <v>27</v>
      </c>
      <c r="BZ100" s="51" t="s">
        <v>27</v>
      </c>
      <c r="CC100" s="36" t="s">
        <v>185</v>
      </c>
      <c r="CD100" s="30">
        <f t="shared" si="2"/>
        <v>0</v>
      </c>
    </row>
    <row r="101" spans="1:82" ht="14.4" x14ac:dyDescent="0.3">
      <c r="A101" t="s">
        <v>186</v>
      </c>
      <c r="B101" t="s">
        <v>169</v>
      </c>
      <c r="C101">
        <v>32.529449999999997</v>
      </c>
      <c r="D101">
        <v>-83.457440000000005</v>
      </c>
      <c r="E101" s="13">
        <v>45080</v>
      </c>
      <c r="F101" s="13">
        <v>45087</v>
      </c>
      <c r="H101" s="1" t="s">
        <v>25</v>
      </c>
      <c r="I101" s="12" t="s">
        <v>26</v>
      </c>
      <c r="J101" t="s">
        <v>186</v>
      </c>
      <c r="K101" s="6">
        <v>1</v>
      </c>
      <c r="L101" s="13">
        <v>45094</v>
      </c>
      <c r="M101">
        <v>0</v>
      </c>
      <c r="N101">
        <v>0</v>
      </c>
      <c r="O101">
        <v>0</v>
      </c>
      <c r="P101" t="s">
        <v>27</v>
      </c>
      <c r="Q101" s="6" t="s">
        <v>27</v>
      </c>
      <c r="R101" s="6" t="s">
        <v>27</v>
      </c>
      <c r="S101" s="2"/>
      <c r="T101" t="s">
        <v>186</v>
      </c>
      <c r="U101" s="6">
        <v>2</v>
      </c>
      <c r="V101" s="13">
        <v>45101</v>
      </c>
      <c r="W101">
        <v>0</v>
      </c>
      <c r="X101">
        <v>0</v>
      </c>
      <c r="Y101">
        <v>0</v>
      </c>
      <c r="Z101" t="s">
        <v>27</v>
      </c>
      <c r="AA101" s="6" t="s">
        <v>27</v>
      </c>
      <c r="AB101" t="s">
        <v>27</v>
      </c>
      <c r="AD101" t="s">
        <v>186</v>
      </c>
      <c r="AE101" s="1">
        <v>3</v>
      </c>
      <c r="AF101" s="13">
        <v>45108</v>
      </c>
      <c r="AG101">
        <v>0</v>
      </c>
      <c r="AH101">
        <v>0</v>
      </c>
      <c r="AI101">
        <v>0</v>
      </c>
      <c r="AJ101" t="s">
        <v>27</v>
      </c>
      <c r="AK101" s="6" t="s">
        <v>27</v>
      </c>
      <c r="AL101" t="s">
        <v>27</v>
      </c>
      <c r="AN101" t="s">
        <v>186</v>
      </c>
      <c r="AO101" s="1">
        <v>4</v>
      </c>
      <c r="AP101" s="13">
        <v>45115</v>
      </c>
      <c r="AQ101">
        <v>0</v>
      </c>
      <c r="AR101">
        <v>0</v>
      </c>
      <c r="AS101">
        <v>0</v>
      </c>
      <c r="AT101" t="s">
        <v>27</v>
      </c>
      <c r="AU101" s="6" t="s">
        <v>27</v>
      </c>
      <c r="AV101" t="s">
        <v>27</v>
      </c>
      <c r="AX101" t="s">
        <v>186</v>
      </c>
      <c r="AY101" s="1">
        <v>5</v>
      </c>
      <c r="AZ101" s="13">
        <v>45122</v>
      </c>
      <c r="BA101">
        <v>0</v>
      </c>
      <c r="BB101">
        <v>0</v>
      </c>
      <c r="BC101">
        <v>0</v>
      </c>
      <c r="BD101" t="s">
        <v>27</v>
      </c>
      <c r="BE101" s="6" t="s">
        <v>27</v>
      </c>
      <c r="BF101" t="s">
        <v>27</v>
      </c>
      <c r="BH101" t="s">
        <v>186</v>
      </c>
      <c r="BI101" s="1">
        <v>6</v>
      </c>
      <c r="BJ101" s="13">
        <v>45129</v>
      </c>
      <c r="BK101">
        <v>0</v>
      </c>
      <c r="BL101">
        <v>0</v>
      </c>
      <c r="BM101">
        <v>0</v>
      </c>
      <c r="BN101" t="s">
        <v>45</v>
      </c>
      <c r="BO101" s="6" t="s">
        <v>33</v>
      </c>
      <c r="BP101" t="s">
        <v>45</v>
      </c>
      <c r="BR101" t="s">
        <v>186</v>
      </c>
      <c r="BS101" s="1">
        <v>7</v>
      </c>
      <c r="BT101" s="13">
        <v>45136</v>
      </c>
      <c r="BU101">
        <v>0</v>
      </c>
      <c r="BV101">
        <v>0</v>
      </c>
      <c r="BW101">
        <v>0</v>
      </c>
      <c r="BX101" s="51" t="s">
        <v>27</v>
      </c>
      <c r="BY101" s="51" t="s">
        <v>27</v>
      </c>
      <c r="BZ101" s="51" t="s">
        <v>27</v>
      </c>
      <c r="CC101" s="36" t="s">
        <v>186</v>
      </c>
      <c r="CD101" s="30">
        <f t="shared" si="2"/>
        <v>0</v>
      </c>
    </row>
    <row r="102" spans="1:82" ht="14.4" x14ac:dyDescent="0.3">
      <c r="A102" t="s">
        <v>187</v>
      </c>
      <c r="B102" t="s">
        <v>69</v>
      </c>
      <c r="C102">
        <v>32.508510000000001</v>
      </c>
      <c r="D102">
        <v>-83.391720000000007</v>
      </c>
      <c r="E102" s="13">
        <v>45079</v>
      </c>
      <c r="F102" s="13">
        <v>45086</v>
      </c>
      <c r="H102" s="1" t="s">
        <v>25</v>
      </c>
      <c r="I102" s="12" t="s">
        <v>26</v>
      </c>
      <c r="J102" t="s">
        <v>187</v>
      </c>
      <c r="K102" s="6">
        <v>1</v>
      </c>
      <c r="L102" s="13">
        <v>45092</v>
      </c>
      <c r="M102">
        <v>5</v>
      </c>
      <c r="N102">
        <v>5</v>
      </c>
      <c r="O102">
        <v>10</v>
      </c>
      <c r="P102" t="s">
        <v>33</v>
      </c>
      <c r="Q102" s="6" t="s">
        <v>33</v>
      </c>
      <c r="R102" s="6" t="s">
        <v>27</v>
      </c>
      <c r="S102" s="2" t="s">
        <v>29</v>
      </c>
      <c r="T102" t="s">
        <v>187</v>
      </c>
      <c r="U102" s="6">
        <v>2</v>
      </c>
      <c r="V102" s="13">
        <v>45099</v>
      </c>
      <c r="W102">
        <v>3</v>
      </c>
      <c r="X102">
        <v>1</v>
      </c>
      <c r="Y102">
        <v>4</v>
      </c>
      <c r="Z102" t="s">
        <v>33</v>
      </c>
      <c r="AA102" s="6" t="s">
        <v>27</v>
      </c>
      <c r="AB102" t="s">
        <v>27</v>
      </c>
      <c r="AC102" s="2" t="s">
        <v>30</v>
      </c>
      <c r="AD102" t="s">
        <v>187</v>
      </c>
      <c r="AE102" s="1">
        <v>3</v>
      </c>
      <c r="AF102" s="13">
        <v>45107</v>
      </c>
      <c r="AG102">
        <v>14</v>
      </c>
      <c r="AH102">
        <v>14</v>
      </c>
      <c r="AI102">
        <v>28</v>
      </c>
      <c r="AJ102" t="s">
        <v>33</v>
      </c>
      <c r="AK102" s="6" t="s">
        <v>33</v>
      </c>
      <c r="AL102" t="s">
        <v>27</v>
      </c>
      <c r="AN102" t="s">
        <v>187</v>
      </c>
      <c r="AO102" s="1">
        <v>4</v>
      </c>
      <c r="AP102" s="13">
        <v>45114</v>
      </c>
      <c r="AQ102">
        <v>4</v>
      </c>
      <c r="AR102">
        <v>5</v>
      </c>
      <c r="AS102">
        <v>9</v>
      </c>
      <c r="AT102" t="s">
        <v>33</v>
      </c>
      <c r="AU102" s="6" t="s">
        <v>33</v>
      </c>
      <c r="AV102" t="s">
        <v>27</v>
      </c>
      <c r="AX102" t="s">
        <v>187</v>
      </c>
      <c r="AY102" s="1">
        <v>5</v>
      </c>
      <c r="AZ102" s="13">
        <v>45121</v>
      </c>
      <c r="BA102">
        <v>4</v>
      </c>
      <c r="BB102">
        <v>6</v>
      </c>
      <c r="BC102">
        <v>10</v>
      </c>
      <c r="BD102" t="s">
        <v>33</v>
      </c>
      <c r="BE102" s="6" t="s">
        <v>33</v>
      </c>
      <c r="BF102" t="s">
        <v>27</v>
      </c>
      <c r="BH102" t="s">
        <v>187</v>
      </c>
      <c r="BI102" s="1">
        <v>6</v>
      </c>
      <c r="BJ102" s="13">
        <v>45127</v>
      </c>
      <c r="BK102">
        <v>6</v>
      </c>
      <c r="BL102">
        <v>7</v>
      </c>
      <c r="BM102">
        <v>13</v>
      </c>
      <c r="BN102" t="s">
        <v>33</v>
      </c>
      <c r="BO102" s="6" t="s">
        <v>33</v>
      </c>
      <c r="BP102" t="s">
        <v>27</v>
      </c>
      <c r="BR102" t="s">
        <v>187</v>
      </c>
      <c r="BS102" s="1">
        <v>7</v>
      </c>
      <c r="BT102" s="13">
        <v>45134</v>
      </c>
      <c r="BU102">
        <v>1</v>
      </c>
      <c r="BV102">
        <v>2</v>
      </c>
      <c r="BW102">
        <v>3</v>
      </c>
      <c r="BX102" s="51" t="s">
        <v>33</v>
      </c>
      <c r="BY102" s="51" t="s">
        <v>33</v>
      </c>
      <c r="BZ102" s="51" t="s">
        <v>27</v>
      </c>
      <c r="CC102" s="36" t="s">
        <v>187</v>
      </c>
      <c r="CD102" s="30">
        <f t="shared" si="2"/>
        <v>77</v>
      </c>
    </row>
    <row r="103" spans="1:82" ht="14.4" x14ac:dyDescent="0.3">
      <c r="A103" t="s">
        <v>188</v>
      </c>
      <c r="B103" t="s">
        <v>69</v>
      </c>
      <c r="C103">
        <v>32.508789999999998</v>
      </c>
      <c r="D103">
        <v>-83.372010000000003</v>
      </c>
      <c r="E103" s="13">
        <v>45079</v>
      </c>
      <c r="F103" s="13">
        <v>45086</v>
      </c>
      <c r="H103" s="1" t="s">
        <v>25</v>
      </c>
      <c r="I103" s="12" t="s">
        <v>26</v>
      </c>
      <c r="J103" t="s">
        <v>188</v>
      </c>
      <c r="K103" s="6">
        <v>1</v>
      </c>
      <c r="L103" s="13">
        <v>45092</v>
      </c>
      <c r="M103">
        <v>0</v>
      </c>
      <c r="N103">
        <v>0</v>
      </c>
      <c r="O103">
        <v>0</v>
      </c>
      <c r="P103" t="s">
        <v>27</v>
      </c>
      <c r="Q103" s="6" t="s">
        <v>27</v>
      </c>
      <c r="R103" s="6" t="s">
        <v>27</v>
      </c>
      <c r="S103" s="2" t="s">
        <v>29</v>
      </c>
      <c r="T103" t="s">
        <v>188</v>
      </c>
      <c r="U103" s="6">
        <v>2</v>
      </c>
      <c r="V103" s="13">
        <v>45099</v>
      </c>
      <c r="W103">
        <v>0</v>
      </c>
      <c r="X103">
        <v>0</v>
      </c>
      <c r="Y103">
        <v>0</v>
      </c>
      <c r="Z103" t="s">
        <v>27</v>
      </c>
      <c r="AA103" s="6" t="s">
        <v>27</v>
      </c>
      <c r="AB103" t="s">
        <v>27</v>
      </c>
      <c r="AC103" s="2" t="s">
        <v>30</v>
      </c>
      <c r="AD103" t="s">
        <v>188</v>
      </c>
      <c r="AE103" s="1">
        <v>3</v>
      </c>
      <c r="AF103" s="13">
        <v>45107</v>
      </c>
      <c r="AG103">
        <v>0</v>
      </c>
      <c r="AH103">
        <v>0</v>
      </c>
      <c r="AI103">
        <v>0</v>
      </c>
      <c r="AJ103" t="s">
        <v>27</v>
      </c>
      <c r="AK103" s="6" t="s">
        <v>27</v>
      </c>
      <c r="AL103" t="s">
        <v>27</v>
      </c>
      <c r="AN103" t="s">
        <v>188</v>
      </c>
      <c r="AO103" s="1">
        <v>4</v>
      </c>
      <c r="AP103" s="13">
        <v>45114</v>
      </c>
      <c r="AQ103">
        <v>0</v>
      </c>
      <c r="AR103">
        <v>0</v>
      </c>
      <c r="AS103">
        <v>0</v>
      </c>
      <c r="AT103" t="s">
        <v>27</v>
      </c>
      <c r="AU103" s="6" t="s">
        <v>27</v>
      </c>
      <c r="AV103" t="s">
        <v>27</v>
      </c>
      <c r="AX103" t="s">
        <v>188</v>
      </c>
      <c r="AY103" s="1">
        <v>5</v>
      </c>
      <c r="AZ103" s="13">
        <v>45121</v>
      </c>
      <c r="BA103">
        <v>0</v>
      </c>
      <c r="BB103">
        <v>0</v>
      </c>
      <c r="BC103">
        <v>0</v>
      </c>
      <c r="BD103" t="s">
        <v>27</v>
      </c>
      <c r="BE103" s="6" t="s">
        <v>27</v>
      </c>
      <c r="BF103" t="s">
        <v>27</v>
      </c>
      <c r="BH103" t="s">
        <v>188</v>
      </c>
      <c r="BI103" s="1">
        <v>6</v>
      </c>
      <c r="BJ103" s="13">
        <v>45127</v>
      </c>
      <c r="BK103">
        <v>0</v>
      </c>
      <c r="BL103">
        <v>0</v>
      </c>
      <c r="BM103">
        <v>0</v>
      </c>
      <c r="BN103" t="s">
        <v>27</v>
      </c>
      <c r="BO103" s="6" t="s">
        <v>27</v>
      </c>
      <c r="BP103" t="s">
        <v>27</v>
      </c>
      <c r="BR103" t="s">
        <v>188</v>
      </c>
      <c r="BS103" s="1">
        <v>7</v>
      </c>
      <c r="BT103" s="13">
        <v>45134</v>
      </c>
      <c r="BU103">
        <v>0</v>
      </c>
      <c r="BV103">
        <v>0</v>
      </c>
      <c r="BW103">
        <v>0</v>
      </c>
      <c r="BX103" s="51" t="s">
        <v>27</v>
      </c>
      <c r="BY103" s="51" t="s">
        <v>27</v>
      </c>
      <c r="BZ103" s="51" t="s">
        <v>27</v>
      </c>
      <c r="CC103" s="36" t="s">
        <v>188</v>
      </c>
      <c r="CD103" s="30">
        <f t="shared" si="2"/>
        <v>0</v>
      </c>
    </row>
    <row r="104" spans="1:82" ht="14.4" x14ac:dyDescent="0.3">
      <c r="A104" t="s">
        <v>189</v>
      </c>
      <c r="B104" t="s">
        <v>69</v>
      </c>
      <c r="C104" s="21">
        <v>32.517000000000003</v>
      </c>
      <c r="D104">
        <v>-83.403729999999996</v>
      </c>
      <c r="E104" s="13">
        <v>45075</v>
      </c>
      <c r="F104" s="13">
        <v>45086</v>
      </c>
      <c r="H104" s="1" t="s">
        <v>25</v>
      </c>
      <c r="I104" s="12" t="s">
        <v>26</v>
      </c>
      <c r="J104" t="s">
        <v>189</v>
      </c>
      <c r="K104" s="6">
        <v>1</v>
      </c>
      <c r="L104" s="13">
        <v>45092</v>
      </c>
      <c r="M104">
        <v>0</v>
      </c>
      <c r="N104">
        <v>0</v>
      </c>
      <c r="O104">
        <v>0</v>
      </c>
      <c r="P104" t="s">
        <v>27</v>
      </c>
      <c r="Q104" s="6" t="s">
        <v>27</v>
      </c>
      <c r="R104" s="6" t="s">
        <v>27</v>
      </c>
      <c r="S104" s="2" t="s">
        <v>29</v>
      </c>
      <c r="T104" t="s">
        <v>189</v>
      </c>
      <c r="U104" s="6">
        <v>2</v>
      </c>
      <c r="V104" s="13">
        <v>45099</v>
      </c>
      <c r="W104">
        <v>0</v>
      </c>
      <c r="X104">
        <v>0</v>
      </c>
      <c r="Y104">
        <v>0</v>
      </c>
      <c r="Z104" t="s">
        <v>27</v>
      </c>
      <c r="AA104" s="6" t="s">
        <v>27</v>
      </c>
      <c r="AB104" t="s">
        <v>27</v>
      </c>
      <c r="AC104" s="2" t="s">
        <v>30</v>
      </c>
      <c r="AD104" t="s">
        <v>189</v>
      </c>
      <c r="AE104" s="1">
        <v>3</v>
      </c>
      <c r="AF104" s="13">
        <v>45107</v>
      </c>
      <c r="AG104">
        <v>0</v>
      </c>
      <c r="AH104">
        <v>0</v>
      </c>
      <c r="AI104">
        <v>0</v>
      </c>
      <c r="AJ104" t="s">
        <v>27</v>
      </c>
      <c r="AK104" s="6" t="s">
        <v>27</v>
      </c>
      <c r="AL104" t="s">
        <v>27</v>
      </c>
      <c r="AN104" t="s">
        <v>189</v>
      </c>
      <c r="AO104" s="1">
        <v>4</v>
      </c>
      <c r="AP104" s="13">
        <v>45114</v>
      </c>
      <c r="AQ104">
        <v>0</v>
      </c>
      <c r="AR104">
        <v>0</v>
      </c>
      <c r="AS104">
        <v>0</v>
      </c>
      <c r="AT104" t="s">
        <v>27</v>
      </c>
      <c r="AU104" s="6" t="s">
        <v>27</v>
      </c>
      <c r="AV104" t="s">
        <v>27</v>
      </c>
      <c r="AX104" t="s">
        <v>189</v>
      </c>
      <c r="AY104" s="1">
        <v>5</v>
      </c>
      <c r="AZ104" s="13">
        <v>45121</v>
      </c>
      <c r="BA104">
        <v>0</v>
      </c>
      <c r="BB104">
        <v>0</v>
      </c>
      <c r="BC104">
        <v>0</v>
      </c>
      <c r="BD104" t="s">
        <v>27</v>
      </c>
      <c r="BE104" s="6" t="s">
        <v>27</v>
      </c>
      <c r="BF104" t="s">
        <v>27</v>
      </c>
      <c r="BH104" t="s">
        <v>189</v>
      </c>
      <c r="BI104" s="1">
        <v>6</v>
      </c>
      <c r="BJ104" s="13">
        <v>45127</v>
      </c>
      <c r="BK104">
        <v>3</v>
      </c>
      <c r="BL104">
        <v>2</v>
      </c>
      <c r="BM104">
        <v>5</v>
      </c>
      <c r="BN104" t="s">
        <v>33</v>
      </c>
      <c r="BO104" s="6" t="s">
        <v>33</v>
      </c>
      <c r="BP104" t="s">
        <v>27</v>
      </c>
      <c r="BR104" t="s">
        <v>189</v>
      </c>
      <c r="BS104" s="1">
        <v>7</v>
      </c>
      <c r="BT104" s="13">
        <v>45134</v>
      </c>
      <c r="BU104">
        <v>0</v>
      </c>
      <c r="BV104">
        <v>0</v>
      </c>
      <c r="BW104">
        <v>0</v>
      </c>
      <c r="BX104" s="51" t="s">
        <v>45</v>
      </c>
      <c r="BY104" s="51" t="s">
        <v>33</v>
      </c>
      <c r="BZ104" s="51" t="s">
        <v>45</v>
      </c>
      <c r="CC104" s="36" t="s">
        <v>189</v>
      </c>
      <c r="CD104" s="30">
        <f t="shared" si="2"/>
        <v>5</v>
      </c>
    </row>
    <row r="105" spans="1:82" ht="14.4" x14ac:dyDescent="0.3">
      <c r="A105" t="s">
        <v>190</v>
      </c>
      <c r="B105" t="s">
        <v>69</v>
      </c>
      <c r="C105">
        <v>32.519779999999997</v>
      </c>
      <c r="D105">
        <v>-83.385990000000007</v>
      </c>
      <c r="E105" s="13">
        <v>45075</v>
      </c>
      <c r="F105" s="13">
        <v>45086</v>
      </c>
      <c r="H105" s="1" t="s">
        <v>25</v>
      </c>
      <c r="I105" s="12" t="s">
        <v>26</v>
      </c>
      <c r="J105" t="s">
        <v>190</v>
      </c>
      <c r="K105" s="6">
        <v>1</v>
      </c>
      <c r="L105" s="13">
        <v>45092</v>
      </c>
      <c r="M105">
        <v>0</v>
      </c>
      <c r="N105">
        <v>0</v>
      </c>
      <c r="O105">
        <v>0</v>
      </c>
      <c r="P105" t="s">
        <v>27</v>
      </c>
      <c r="Q105" s="6" t="s">
        <v>27</v>
      </c>
      <c r="R105" s="6" t="s">
        <v>27</v>
      </c>
      <c r="S105" s="2" t="s">
        <v>29</v>
      </c>
      <c r="T105" t="s">
        <v>190</v>
      </c>
      <c r="U105" s="6">
        <v>2</v>
      </c>
      <c r="V105" s="13">
        <v>45099</v>
      </c>
      <c r="W105">
        <v>1</v>
      </c>
      <c r="X105">
        <v>0</v>
      </c>
      <c r="Y105">
        <v>1</v>
      </c>
      <c r="Z105" t="s">
        <v>33</v>
      </c>
      <c r="AA105" s="6" t="s">
        <v>33</v>
      </c>
      <c r="AB105" t="s">
        <v>27</v>
      </c>
      <c r="AC105" s="2" t="s">
        <v>30</v>
      </c>
      <c r="AD105" t="s">
        <v>190</v>
      </c>
      <c r="AE105" s="1">
        <v>3</v>
      </c>
      <c r="AF105" s="13">
        <v>45107</v>
      </c>
      <c r="AG105">
        <v>0</v>
      </c>
      <c r="AH105">
        <v>3</v>
      </c>
      <c r="AI105">
        <v>3</v>
      </c>
      <c r="AJ105" t="s">
        <v>33</v>
      </c>
      <c r="AK105" s="6" t="s">
        <v>33</v>
      </c>
      <c r="AL105" t="s">
        <v>27</v>
      </c>
      <c r="AN105" t="s">
        <v>190</v>
      </c>
      <c r="AO105" s="1">
        <v>4</v>
      </c>
      <c r="AP105" s="13">
        <v>45114</v>
      </c>
      <c r="AQ105">
        <v>0</v>
      </c>
      <c r="AR105">
        <v>0</v>
      </c>
      <c r="AS105">
        <v>0</v>
      </c>
      <c r="AT105" t="s">
        <v>27</v>
      </c>
      <c r="AU105" s="6" t="s">
        <v>27</v>
      </c>
      <c r="AV105" t="s">
        <v>27</v>
      </c>
      <c r="AX105" t="s">
        <v>190</v>
      </c>
      <c r="AY105" s="1">
        <v>5</v>
      </c>
      <c r="AZ105" s="13">
        <v>45121</v>
      </c>
      <c r="BA105">
        <v>0</v>
      </c>
      <c r="BB105">
        <v>0</v>
      </c>
      <c r="BC105">
        <v>0</v>
      </c>
      <c r="BD105" t="s">
        <v>27</v>
      </c>
      <c r="BE105" s="6" t="s">
        <v>27</v>
      </c>
      <c r="BF105" t="s">
        <v>27</v>
      </c>
      <c r="BH105" t="s">
        <v>190</v>
      </c>
      <c r="BI105" s="1">
        <v>6</v>
      </c>
      <c r="BJ105" s="13">
        <v>45127</v>
      </c>
      <c r="BK105">
        <v>0</v>
      </c>
      <c r="BL105">
        <v>0</v>
      </c>
      <c r="BM105">
        <v>0</v>
      </c>
      <c r="BN105" t="s">
        <v>45</v>
      </c>
      <c r="BO105" s="6" t="s">
        <v>33</v>
      </c>
      <c r="BP105" t="s">
        <v>45</v>
      </c>
      <c r="BR105" t="s">
        <v>190</v>
      </c>
      <c r="BS105" s="1">
        <v>7</v>
      </c>
      <c r="BT105" s="13">
        <v>45134</v>
      </c>
      <c r="BU105">
        <v>0</v>
      </c>
      <c r="BV105">
        <v>0</v>
      </c>
      <c r="BW105">
        <v>0</v>
      </c>
      <c r="BX105" s="51" t="s">
        <v>45</v>
      </c>
      <c r="BY105" s="51" t="s">
        <v>33</v>
      </c>
      <c r="BZ105" s="51" t="s">
        <v>45</v>
      </c>
      <c r="CC105" s="36" t="s">
        <v>190</v>
      </c>
      <c r="CD105" s="30">
        <f t="shared" si="2"/>
        <v>4</v>
      </c>
    </row>
    <row r="106" spans="1:82" ht="14.4" x14ac:dyDescent="0.3">
      <c r="A106" t="s">
        <v>191</v>
      </c>
      <c r="B106" t="s">
        <v>69</v>
      </c>
      <c r="C106">
        <v>32.532049999999998</v>
      </c>
      <c r="D106">
        <v>-83.402289999999994</v>
      </c>
      <c r="E106" s="13">
        <v>45079</v>
      </c>
      <c r="F106" s="13">
        <v>45086</v>
      </c>
      <c r="H106" s="1" t="s">
        <v>25</v>
      </c>
      <c r="I106" s="12" t="s">
        <v>26</v>
      </c>
      <c r="J106" t="s">
        <v>191</v>
      </c>
      <c r="K106" s="6">
        <v>1</v>
      </c>
      <c r="L106" s="13">
        <v>45092</v>
      </c>
      <c r="M106">
        <v>0</v>
      </c>
      <c r="N106">
        <v>0</v>
      </c>
      <c r="O106">
        <v>0</v>
      </c>
      <c r="P106" t="s">
        <v>27</v>
      </c>
      <c r="Q106" s="6" t="s">
        <v>27</v>
      </c>
      <c r="R106" s="6" t="s">
        <v>27</v>
      </c>
      <c r="S106" s="2" t="s">
        <v>29</v>
      </c>
      <c r="T106" t="s">
        <v>191</v>
      </c>
      <c r="U106" s="6">
        <v>2</v>
      </c>
      <c r="V106" s="13">
        <v>45099</v>
      </c>
      <c r="W106">
        <v>2</v>
      </c>
      <c r="X106">
        <v>2</v>
      </c>
      <c r="Y106">
        <v>4</v>
      </c>
      <c r="Z106" t="s">
        <v>33</v>
      </c>
      <c r="AA106" s="6" t="s">
        <v>33</v>
      </c>
      <c r="AB106" t="s">
        <v>27</v>
      </c>
      <c r="AC106" s="2" t="s">
        <v>30</v>
      </c>
      <c r="AD106" t="s">
        <v>191</v>
      </c>
      <c r="AE106" s="1">
        <v>3</v>
      </c>
      <c r="AF106" s="13">
        <v>45107</v>
      </c>
      <c r="AG106">
        <v>0</v>
      </c>
      <c r="AH106">
        <v>0</v>
      </c>
      <c r="AI106">
        <v>0</v>
      </c>
      <c r="AJ106" t="s">
        <v>27</v>
      </c>
      <c r="AK106" s="6" t="s">
        <v>27</v>
      </c>
      <c r="AL106" t="s">
        <v>27</v>
      </c>
      <c r="AN106" t="s">
        <v>191</v>
      </c>
      <c r="AO106" s="1">
        <v>4</v>
      </c>
      <c r="AP106" s="13">
        <v>45114</v>
      </c>
      <c r="AQ106">
        <v>0</v>
      </c>
      <c r="AR106">
        <v>0</v>
      </c>
      <c r="AS106">
        <v>0</v>
      </c>
      <c r="AT106" t="s">
        <v>27</v>
      </c>
      <c r="AU106" s="6" t="s">
        <v>27</v>
      </c>
      <c r="AV106" t="s">
        <v>27</v>
      </c>
      <c r="AX106" t="s">
        <v>191</v>
      </c>
      <c r="AY106" s="1">
        <v>5</v>
      </c>
      <c r="AZ106" s="13">
        <v>45121</v>
      </c>
      <c r="BA106">
        <v>3</v>
      </c>
      <c r="BB106">
        <v>0</v>
      </c>
      <c r="BC106">
        <v>3</v>
      </c>
      <c r="BD106" t="s">
        <v>33</v>
      </c>
      <c r="BE106" s="6" t="s">
        <v>33</v>
      </c>
      <c r="BF106" t="s">
        <v>27</v>
      </c>
      <c r="BH106" t="s">
        <v>191</v>
      </c>
      <c r="BI106" s="1">
        <v>6</v>
      </c>
      <c r="BJ106" s="13">
        <v>45127</v>
      </c>
      <c r="BK106">
        <v>1</v>
      </c>
      <c r="BL106">
        <v>0</v>
      </c>
      <c r="BM106">
        <v>1</v>
      </c>
      <c r="BN106" t="s">
        <v>33</v>
      </c>
      <c r="BO106" s="6" t="s">
        <v>33</v>
      </c>
      <c r="BP106" t="s">
        <v>27</v>
      </c>
      <c r="BR106" t="s">
        <v>191</v>
      </c>
      <c r="BS106" s="1">
        <v>7</v>
      </c>
      <c r="BT106" s="13">
        <v>45134</v>
      </c>
      <c r="BU106">
        <v>0</v>
      </c>
      <c r="BV106">
        <v>0</v>
      </c>
      <c r="BW106">
        <v>0</v>
      </c>
      <c r="BX106" s="51" t="s">
        <v>45</v>
      </c>
      <c r="BY106" s="51" t="s">
        <v>33</v>
      </c>
      <c r="BZ106" s="51" t="s">
        <v>45</v>
      </c>
      <c r="CC106" s="36" t="s">
        <v>191</v>
      </c>
      <c r="CD106" s="30">
        <f t="shared" si="2"/>
        <v>8</v>
      </c>
    </row>
    <row r="107" spans="1:82" ht="14.4" x14ac:dyDescent="0.3">
      <c r="A107" t="s">
        <v>192</v>
      </c>
      <c r="B107" t="s">
        <v>69</v>
      </c>
      <c r="C107">
        <v>32.53434</v>
      </c>
      <c r="D107">
        <v>-83.386840000000007</v>
      </c>
      <c r="E107" s="13">
        <v>45075</v>
      </c>
      <c r="F107" s="13">
        <v>45086</v>
      </c>
      <c r="H107" s="1" t="s">
        <v>25</v>
      </c>
      <c r="I107" s="12" t="s">
        <v>26</v>
      </c>
      <c r="J107" t="s">
        <v>192</v>
      </c>
      <c r="K107" s="6">
        <v>1</v>
      </c>
      <c r="L107" s="13">
        <v>45092</v>
      </c>
      <c r="M107">
        <v>0</v>
      </c>
      <c r="N107">
        <v>0</v>
      </c>
      <c r="O107">
        <v>0</v>
      </c>
      <c r="P107" t="s">
        <v>27</v>
      </c>
      <c r="Q107" s="6" t="s">
        <v>27</v>
      </c>
      <c r="R107" s="6" t="s">
        <v>27</v>
      </c>
      <c r="S107" s="2" t="s">
        <v>29</v>
      </c>
      <c r="T107" t="s">
        <v>192</v>
      </c>
      <c r="U107" s="6">
        <v>2</v>
      </c>
      <c r="V107" s="13">
        <v>45099</v>
      </c>
      <c r="W107">
        <v>0</v>
      </c>
      <c r="X107">
        <v>0</v>
      </c>
      <c r="Y107">
        <v>0</v>
      </c>
      <c r="Z107" t="s">
        <v>27</v>
      </c>
      <c r="AA107" s="6" t="s">
        <v>27</v>
      </c>
      <c r="AB107" t="s">
        <v>27</v>
      </c>
      <c r="AC107" s="2" t="s">
        <v>30</v>
      </c>
      <c r="AD107" t="s">
        <v>192</v>
      </c>
      <c r="AE107" s="1">
        <v>3</v>
      </c>
      <c r="AF107" s="13">
        <v>45107</v>
      </c>
      <c r="AG107">
        <v>0</v>
      </c>
      <c r="AH107">
        <v>0</v>
      </c>
      <c r="AI107">
        <v>0</v>
      </c>
      <c r="AJ107" t="s">
        <v>27</v>
      </c>
      <c r="AK107" s="6" t="s">
        <v>27</v>
      </c>
      <c r="AL107" t="s">
        <v>27</v>
      </c>
      <c r="AN107" t="s">
        <v>192</v>
      </c>
      <c r="AO107" s="1">
        <v>4</v>
      </c>
      <c r="AP107" s="13">
        <v>45114</v>
      </c>
      <c r="AQ107">
        <v>0</v>
      </c>
      <c r="AR107">
        <v>0</v>
      </c>
      <c r="AS107">
        <v>0</v>
      </c>
      <c r="AT107" t="s">
        <v>27</v>
      </c>
      <c r="AU107" s="6" t="s">
        <v>27</v>
      </c>
      <c r="AV107" t="s">
        <v>27</v>
      </c>
      <c r="AX107" t="s">
        <v>192</v>
      </c>
      <c r="AY107" s="1">
        <v>5</v>
      </c>
      <c r="AZ107" s="13">
        <v>45121</v>
      </c>
      <c r="BA107">
        <v>0</v>
      </c>
      <c r="BB107">
        <v>0</v>
      </c>
      <c r="BC107">
        <v>0</v>
      </c>
      <c r="BD107" t="s">
        <v>27</v>
      </c>
      <c r="BE107" s="6" t="s">
        <v>27</v>
      </c>
      <c r="BF107" t="s">
        <v>27</v>
      </c>
      <c r="BH107" t="s">
        <v>192</v>
      </c>
      <c r="BI107" s="1">
        <v>6</v>
      </c>
      <c r="BJ107" s="13">
        <v>45127</v>
      </c>
      <c r="BK107">
        <v>0</v>
      </c>
      <c r="BL107">
        <v>0</v>
      </c>
      <c r="BM107">
        <v>0</v>
      </c>
      <c r="BN107" t="s">
        <v>27</v>
      </c>
      <c r="BO107" s="6" t="s">
        <v>27</v>
      </c>
      <c r="BP107" t="s">
        <v>27</v>
      </c>
      <c r="BR107" t="s">
        <v>192</v>
      </c>
      <c r="BS107" s="1">
        <v>7</v>
      </c>
      <c r="BT107" s="13">
        <v>45134</v>
      </c>
      <c r="BU107">
        <v>0</v>
      </c>
      <c r="BV107">
        <v>0</v>
      </c>
      <c r="BW107">
        <v>0</v>
      </c>
      <c r="BX107" s="51" t="s">
        <v>27</v>
      </c>
      <c r="BY107" s="51" t="s">
        <v>27</v>
      </c>
      <c r="BZ107" s="51" t="s">
        <v>27</v>
      </c>
      <c r="CC107" s="36" t="s">
        <v>192</v>
      </c>
      <c r="CD107" s="30">
        <f t="shared" si="2"/>
        <v>0</v>
      </c>
    </row>
    <row r="108" spans="1:82" ht="14.4" x14ac:dyDescent="0.3">
      <c r="A108" t="s">
        <v>193</v>
      </c>
      <c r="B108" t="s">
        <v>194</v>
      </c>
      <c r="C108">
        <v>32.540990000000001</v>
      </c>
      <c r="D108">
        <v>-83.51173</v>
      </c>
      <c r="E108" s="13">
        <v>45074</v>
      </c>
      <c r="F108" s="13">
        <v>45086</v>
      </c>
      <c r="H108" s="1" t="s">
        <v>25</v>
      </c>
      <c r="I108" s="12" t="s">
        <v>26</v>
      </c>
      <c r="J108" t="s">
        <v>193</v>
      </c>
      <c r="K108" s="6">
        <v>1</v>
      </c>
      <c r="L108" s="13">
        <v>45093</v>
      </c>
      <c r="M108">
        <v>6</v>
      </c>
      <c r="N108">
        <v>0</v>
      </c>
      <c r="O108">
        <v>6</v>
      </c>
      <c r="P108" t="s">
        <v>33</v>
      </c>
      <c r="Q108" s="6" t="s">
        <v>33</v>
      </c>
      <c r="R108" s="6" t="s">
        <v>27</v>
      </c>
      <c r="S108" s="2"/>
      <c r="T108" t="s">
        <v>193</v>
      </c>
      <c r="U108" s="6">
        <v>2</v>
      </c>
      <c r="V108" s="13">
        <v>45100</v>
      </c>
      <c r="W108">
        <v>0</v>
      </c>
      <c r="X108">
        <v>0</v>
      </c>
      <c r="Y108">
        <v>0</v>
      </c>
      <c r="Z108" t="s">
        <v>27</v>
      </c>
      <c r="AA108" s="6" t="s">
        <v>27</v>
      </c>
      <c r="AB108" t="s">
        <v>27</v>
      </c>
      <c r="AD108" t="s">
        <v>193</v>
      </c>
      <c r="AE108" s="1">
        <v>3</v>
      </c>
      <c r="AF108" s="13">
        <v>45107</v>
      </c>
      <c r="AG108">
        <v>0</v>
      </c>
      <c r="AH108">
        <v>0</v>
      </c>
      <c r="AI108">
        <v>0</v>
      </c>
      <c r="AJ108" t="s">
        <v>27</v>
      </c>
      <c r="AK108" s="6" t="s">
        <v>27</v>
      </c>
      <c r="AL108" t="s">
        <v>27</v>
      </c>
      <c r="AN108" t="s">
        <v>193</v>
      </c>
      <c r="AO108" s="1">
        <v>4</v>
      </c>
      <c r="AP108" s="13">
        <v>45114</v>
      </c>
      <c r="AQ108">
        <v>0</v>
      </c>
      <c r="AR108">
        <v>0</v>
      </c>
      <c r="AS108">
        <v>0</v>
      </c>
      <c r="AT108" t="s">
        <v>27</v>
      </c>
      <c r="AU108" s="6" t="s">
        <v>27</v>
      </c>
      <c r="AV108" t="s">
        <v>27</v>
      </c>
      <c r="AX108" t="s">
        <v>193</v>
      </c>
      <c r="AY108" s="1">
        <v>5</v>
      </c>
      <c r="AZ108" s="13">
        <v>45121</v>
      </c>
      <c r="BA108">
        <v>0</v>
      </c>
      <c r="BB108">
        <v>0</v>
      </c>
      <c r="BC108">
        <v>0</v>
      </c>
      <c r="BD108" t="s">
        <v>27</v>
      </c>
      <c r="BE108" s="6" t="s">
        <v>27</v>
      </c>
      <c r="BF108" t="s">
        <v>27</v>
      </c>
      <c r="BH108" t="s">
        <v>193</v>
      </c>
      <c r="BI108" s="1">
        <v>6</v>
      </c>
      <c r="BJ108" s="13">
        <v>45128</v>
      </c>
      <c r="BK108">
        <v>0</v>
      </c>
      <c r="BL108">
        <v>0</v>
      </c>
      <c r="BM108">
        <v>0</v>
      </c>
      <c r="BN108" t="s">
        <v>27</v>
      </c>
      <c r="BO108" s="6" t="s">
        <v>27</v>
      </c>
      <c r="BP108" t="s">
        <v>27</v>
      </c>
      <c r="BR108" t="s">
        <v>193</v>
      </c>
      <c r="BS108" s="1">
        <v>7</v>
      </c>
      <c r="BT108" s="13">
        <v>45135</v>
      </c>
      <c r="BU108">
        <v>3</v>
      </c>
      <c r="BV108">
        <v>0</v>
      </c>
      <c r="BW108">
        <v>3</v>
      </c>
      <c r="BX108" s="51" t="s">
        <v>33</v>
      </c>
      <c r="BY108" s="51" t="s">
        <v>27</v>
      </c>
      <c r="BZ108" s="51" t="s">
        <v>27</v>
      </c>
      <c r="CC108" s="36" t="s">
        <v>193</v>
      </c>
      <c r="CD108" s="30">
        <f t="shared" si="2"/>
        <v>9</v>
      </c>
    </row>
    <row r="109" spans="1:82" ht="14.4" x14ac:dyDescent="0.3">
      <c r="A109" t="s">
        <v>195</v>
      </c>
      <c r="B109" t="s">
        <v>96</v>
      </c>
      <c r="C109">
        <v>32.545960000000001</v>
      </c>
      <c r="D109">
        <v>-83.524850000000001</v>
      </c>
      <c r="E109" s="13">
        <v>45081</v>
      </c>
      <c r="F109" s="13">
        <v>45086</v>
      </c>
      <c r="H109" s="1" t="s">
        <v>25</v>
      </c>
      <c r="I109" s="12" t="s">
        <v>26</v>
      </c>
      <c r="J109" t="s">
        <v>195</v>
      </c>
      <c r="K109" s="6">
        <v>1</v>
      </c>
      <c r="L109" s="13">
        <v>45093</v>
      </c>
      <c r="M109">
        <v>0</v>
      </c>
      <c r="N109">
        <v>0</v>
      </c>
      <c r="O109">
        <v>0</v>
      </c>
      <c r="P109" t="s">
        <v>27</v>
      </c>
      <c r="Q109" s="6" t="s">
        <v>27</v>
      </c>
      <c r="R109" s="6" t="s">
        <v>27</v>
      </c>
      <c r="S109" s="2"/>
      <c r="T109" t="s">
        <v>195</v>
      </c>
      <c r="U109" s="6">
        <v>2</v>
      </c>
      <c r="V109" s="13">
        <v>45100</v>
      </c>
      <c r="W109">
        <v>0</v>
      </c>
      <c r="X109">
        <v>0</v>
      </c>
      <c r="Y109">
        <v>0</v>
      </c>
      <c r="Z109" t="s">
        <v>27</v>
      </c>
      <c r="AA109" s="6" t="s">
        <v>27</v>
      </c>
      <c r="AB109" t="s">
        <v>27</v>
      </c>
      <c r="AD109" t="s">
        <v>195</v>
      </c>
      <c r="AE109" s="1">
        <v>3</v>
      </c>
      <c r="AF109" s="13">
        <v>45107</v>
      </c>
      <c r="AG109">
        <v>0</v>
      </c>
      <c r="AH109">
        <v>0</v>
      </c>
      <c r="AI109">
        <v>0</v>
      </c>
      <c r="AJ109" t="s">
        <v>27</v>
      </c>
      <c r="AK109" s="6" t="s">
        <v>27</v>
      </c>
      <c r="AL109" t="s">
        <v>27</v>
      </c>
      <c r="AN109" t="s">
        <v>195</v>
      </c>
      <c r="AO109" s="1">
        <v>4</v>
      </c>
      <c r="AP109" s="13">
        <v>45114</v>
      </c>
      <c r="AQ109">
        <v>0</v>
      </c>
      <c r="AR109">
        <v>0</v>
      </c>
      <c r="AS109">
        <v>0</v>
      </c>
      <c r="AT109" t="s">
        <v>27</v>
      </c>
      <c r="AU109" s="6" t="s">
        <v>27</v>
      </c>
      <c r="AV109" t="s">
        <v>27</v>
      </c>
      <c r="AX109" t="s">
        <v>195</v>
      </c>
      <c r="AY109" s="1">
        <v>5</v>
      </c>
      <c r="AZ109" s="13">
        <v>45121</v>
      </c>
      <c r="BA109">
        <v>0</v>
      </c>
      <c r="BB109">
        <v>0</v>
      </c>
      <c r="BC109">
        <v>0</v>
      </c>
      <c r="BD109" t="s">
        <v>27</v>
      </c>
      <c r="BE109" s="6" t="s">
        <v>27</v>
      </c>
      <c r="BF109" t="s">
        <v>27</v>
      </c>
      <c r="BH109" t="s">
        <v>195</v>
      </c>
      <c r="BI109" s="1">
        <v>6</v>
      </c>
      <c r="BJ109" s="13">
        <v>45128</v>
      </c>
      <c r="BK109">
        <v>0</v>
      </c>
      <c r="BL109">
        <v>0</v>
      </c>
      <c r="BM109">
        <v>0</v>
      </c>
      <c r="BN109" t="s">
        <v>27</v>
      </c>
      <c r="BO109" s="6" t="s">
        <v>27</v>
      </c>
      <c r="BP109" t="s">
        <v>27</v>
      </c>
      <c r="BR109" t="s">
        <v>195</v>
      </c>
      <c r="BS109" s="1">
        <v>7</v>
      </c>
      <c r="BT109" s="13">
        <v>45135</v>
      </c>
      <c r="BU109">
        <v>0</v>
      </c>
      <c r="BV109">
        <v>0</v>
      </c>
      <c r="BW109">
        <v>0</v>
      </c>
      <c r="BX109" s="51" t="s">
        <v>27</v>
      </c>
      <c r="BY109" s="51" t="s">
        <v>27</v>
      </c>
      <c r="BZ109" s="51" t="s">
        <v>27</v>
      </c>
      <c r="CC109" s="36" t="s">
        <v>195</v>
      </c>
      <c r="CD109" s="30">
        <f t="shared" si="2"/>
        <v>0</v>
      </c>
    </row>
    <row r="110" spans="1:82" ht="14.4" x14ac:dyDescent="0.3">
      <c r="A110" t="s">
        <v>196</v>
      </c>
      <c r="B110" t="s">
        <v>62</v>
      </c>
      <c r="C110">
        <v>32.550269999999998</v>
      </c>
      <c r="D110">
        <v>-83.487560000000002</v>
      </c>
      <c r="E110" s="13">
        <v>45079</v>
      </c>
      <c r="F110" s="13">
        <v>45086</v>
      </c>
      <c r="H110" s="1" t="s">
        <v>25</v>
      </c>
      <c r="I110" s="12" t="s">
        <v>26</v>
      </c>
      <c r="J110" t="s">
        <v>196</v>
      </c>
      <c r="K110" s="6">
        <v>1</v>
      </c>
      <c r="L110" s="13">
        <v>45093</v>
      </c>
      <c r="M110">
        <v>0</v>
      </c>
      <c r="N110">
        <v>0</v>
      </c>
      <c r="O110">
        <v>0</v>
      </c>
      <c r="P110" t="s">
        <v>27</v>
      </c>
      <c r="Q110" s="6" t="s">
        <v>27</v>
      </c>
      <c r="R110" s="6" t="s">
        <v>27</v>
      </c>
      <c r="S110" s="2"/>
      <c r="T110" t="s">
        <v>196</v>
      </c>
      <c r="U110" s="6">
        <v>2</v>
      </c>
      <c r="V110" s="13">
        <v>45100</v>
      </c>
      <c r="W110">
        <v>9</v>
      </c>
      <c r="X110">
        <v>1</v>
      </c>
      <c r="Y110">
        <v>10</v>
      </c>
      <c r="Z110" t="s">
        <v>33</v>
      </c>
      <c r="AA110" s="6" t="s">
        <v>33</v>
      </c>
      <c r="AB110" t="s">
        <v>27</v>
      </c>
      <c r="AD110" t="s">
        <v>196</v>
      </c>
      <c r="AE110" s="1">
        <v>3</v>
      </c>
      <c r="AF110" s="13">
        <v>45107</v>
      </c>
      <c r="AG110">
        <v>0</v>
      </c>
      <c r="AH110">
        <v>0</v>
      </c>
      <c r="AI110">
        <v>0</v>
      </c>
      <c r="AJ110" t="s">
        <v>45</v>
      </c>
      <c r="AK110" s="6" t="s">
        <v>33</v>
      </c>
      <c r="AL110" t="s">
        <v>45</v>
      </c>
      <c r="AN110" t="s">
        <v>196</v>
      </c>
      <c r="AO110" s="1">
        <v>4</v>
      </c>
      <c r="AP110" s="13">
        <v>45114</v>
      </c>
      <c r="AQ110">
        <v>0</v>
      </c>
      <c r="AR110">
        <v>0</v>
      </c>
      <c r="AS110">
        <v>0</v>
      </c>
      <c r="AT110" t="s">
        <v>45</v>
      </c>
      <c r="AU110" s="6" t="s">
        <v>33</v>
      </c>
      <c r="AV110" t="s">
        <v>45</v>
      </c>
      <c r="AX110" t="s">
        <v>196</v>
      </c>
      <c r="AY110" s="1">
        <v>5</v>
      </c>
      <c r="AZ110" s="13">
        <v>45121</v>
      </c>
      <c r="BA110">
        <v>0</v>
      </c>
      <c r="BB110">
        <v>0</v>
      </c>
      <c r="BC110">
        <v>0</v>
      </c>
      <c r="BD110" t="s">
        <v>27</v>
      </c>
      <c r="BE110" s="6" t="s">
        <v>27</v>
      </c>
      <c r="BF110" t="s">
        <v>27</v>
      </c>
      <c r="BH110" t="s">
        <v>196</v>
      </c>
      <c r="BI110" s="1">
        <v>6</v>
      </c>
      <c r="BJ110" s="13">
        <v>45128</v>
      </c>
      <c r="BK110">
        <v>0</v>
      </c>
      <c r="BL110">
        <v>0</v>
      </c>
      <c r="BM110">
        <v>0</v>
      </c>
      <c r="BN110" t="s">
        <v>27</v>
      </c>
      <c r="BO110" s="6" t="s">
        <v>27</v>
      </c>
      <c r="BP110" t="s">
        <v>27</v>
      </c>
      <c r="BR110" t="s">
        <v>196</v>
      </c>
      <c r="BS110" s="1">
        <v>7</v>
      </c>
      <c r="BT110" s="13">
        <v>45135</v>
      </c>
      <c r="BU110">
        <v>0</v>
      </c>
      <c r="BV110">
        <v>0</v>
      </c>
      <c r="BW110">
        <v>0</v>
      </c>
      <c r="BX110" s="51" t="s">
        <v>27</v>
      </c>
      <c r="BY110" s="51" t="s">
        <v>27</v>
      </c>
      <c r="BZ110" s="51" t="s">
        <v>27</v>
      </c>
      <c r="CC110" s="36" t="s">
        <v>196</v>
      </c>
      <c r="CD110" s="30">
        <f t="shared" si="2"/>
        <v>10</v>
      </c>
    </row>
    <row r="111" spans="1:82" ht="14.4" x14ac:dyDescent="0.3">
      <c r="A111" t="s">
        <v>197</v>
      </c>
      <c r="B111" t="s">
        <v>198</v>
      </c>
      <c r="C111">
        <v>32.546970000000002</v>
      </c>
      <c r="D111">
        <v>-83.475930000000005</v>
      </c>
      <c r="E111" s="13">
        <v>45079</v>
      </c>
      <c r="F111" s="13">
        <v>45086</v>
      </c>
      <c r="H111" s="1" t="s">
        <v>25</v>
      </c>
      <c r="I111" s="12" t="s">
        <v>26</v>
      </c>
      <c r="J111" t="s">
        <v>197</v>
      </c>
      <c r="K111" s="6">
        <v>1</v>
      </c>
      <c r="L111" s="13">
        <v>45093</v>
      </c>
      <c r="M111">
        <v>0</v>
      </c>
      <c r="N111">
        <v>0</v>
      </c>
      <c r="O111">
        <v>0</v>
      </c>
      <c r="P111" t="s">
        <v>27</v>
      </c>
      <c r="Q111" s="6" t="s">
        <v>27</v>
      </c>
      <c r="R111" s="6" t="s">
        <v>27</v>
      </c>
      <c r="S111" s="2"/>
      <c r="T111" t="s">
        <v>197</v>
      </c>
      <c r="U111" s="6">
        <v>2</v>
      </c>
      <c r="V111" s="13">
        <v>45100</v>
      </c>
      <c r="W111">
        <v>1</v>
      </c>
      <c r="X111">
        <v>0</v>
      </c>
      <c r="Y111">
        <v>0</v>
      </c>
      <c r="Z111" t="s">
        <v>33</v>
      </c>
      <c r="AA111" s="6" t="s">
        <v>33</v>
      </c>
      <c r="AB111" t="s">
        <v>27</v>
      </c>
      <c r="AD111" t="s">
        <v>197</v>
      </c>
      <c r="AE111" s="1">
        <v>3</v>
      </c>
      <c r="AF111" s="13">
        <v>45107</v>
      </c>
      <c r="AG111">
        <v>0</v>
      </c>
      <c r="AH111">
        <v>0</v>
      </c>
      <c r="AI111">
        <v>0</v>
      </c>
      <c r="AJ111" t="s">
        <v>27</v>
      </c>
      <c r="AK111" s="6" t="s">
        <v>27</v>
      </c>
      <c r="AL111" t="s">
        <v>27</v>
      </c>
      <c r="AN111" t="s">
        <v>197</v>
      </c>
      <c r="AO111" s="1">
        <v>4</v>
      </c>
      <c r="AP111" s="13">
        <v>45114</v>
      </c>
      <c r="AQ111">
        <v>0</v>
      </c>
      <c r="AR111">
        <v>0</v>
      </c>
      <c r="AS111">
        <v>0</v>
      </c>
      <c r="AT111" t="s">
        <v>45</v>
      </c>
      <c r="AU111" s="6" t="s">
        <v>33</v>
      </c>
      <c r="AV111" t="s">
        <v>45</v>
      </c>
      <c r="AX111" t="s">
        <v>197</v>
      </c>
      <c r="AY111" s="1">
        <v>5</v>
      </c>
      <c r="AZ111" s="13">
        <v>45121</v>
      </c>
      <c r="BA111">
        <v>7</v>
      </c>
      <c r="BB111">
        <v>3</v>
      </c>
      <c r="BC111">
        <v>10</v>
      </c>
      <c r="BD111" t="s">
        <v>33</v>
      </c>
      <c r="BE111" s="6" t="s">
        <v>33</v>
      </c>
      <c r="BF111" t="s">
        <v>27</v>
      </c>
      <c r="BH111" t="s">
        <v>197</v>
      </c>
      <c r="BI111" s="1">
        <v>6</v>
      </c>
      <c r="BJ111" s="13">
        <v>45128</v>
      </c>
      <c r="BK111">
        <v>0</v>
      </c>
      <c r="BL111">
        <v>0</v>
      </c>
      <c r="BM111">
        <v>0</v>
      </c>
      <c r="BN111" t="s">
        <v>45</v>
      </c>
      <c r="BO111" s="6" t="s">
        <v>33</v>
      </c>
      <c r="BP111" t="s">
        <v>45</v>
      </c>
      <c r="BR111" t="s">
        <v>197</v>
      </c>
      <c r="BS111" s="1">
        <v>7</v>
      </c>
      <c r="BT111" s="13">
        <v>45135</v>
      </c>
      <c r="BU111">
        <v>5</v>
      </c>
      <c r="BV111">
        <v>2</v>
      </c>
      <c r="BW111">
        <v>7</v>
      </c>
      <c r="BX111" s="51" t="s">
        <v>33</v>
      </c>
      <c r="BY111" s="51" t="s">
        <v>33</v>
      </c>
      <c r="BZ111" s="51" t="s">
        <v>27</v>
      </c>
      <c r="CC111" s="36" t="s">
        <v>197</v>
      </c>
      <c r="CD111" s="30">
        <f t="shared" si="2"/>
        <v>17</v>
      </c>
    </row>
    <row r="112" spans="1:82" ht="14.4" x14ac:dyDescent="0.3">
      <c r="A112" t="s">
        <v>199</v>
      </c>
      <c r="B112" t="s">
        <v>96</v>
      </c>
      <c r="C112">
        <v>32.550919999999998</v>
      </c>
      <c r="D112">
        <v>-83.457679999999996</v>
      </c>
      <c r="E112" s="13">
        <v>45078</v>
      </c>
      <c r="F112" s="13">
        <v>45086</v>
      </c>
      <c r="H112" s="1" t="s">
        <v>25</v>
      </c>
      <c r="I112" s="12" t="s">
        <v>26</v>
      </c>
      <c r="J112" t="s">
        <v>199</v>
      </c>
      <c r="K112" s="6">
        <v>1</v>
      </c>
      <c r="L112" s="13">
        <v>45093</v>
      </c>
      <c r="M112">
        <v>0</v>
      </c>
      <c r="N112">
        <v>0</v>
      </c>
      <c r="O112">
        <v>0</v>
      </c>
      <c r="P112" t="s">
        <v>27</v>
      </c>
      <c r="Q112" s="6" t="s">
        <v>27</v>
      </c>
      <c r="R112" s="6" t="s">
        <v>27</v>
      </c>
      <c r="S112" s="2"/>
      <c r="T112" t="s">
        <v>199</v>
      </c>
      <c r="U112" s="6">
        <v>2</v>
      </c>
      <c r="V112" s="13">
        <v>45100</v>
      </c>
      <c r="W112">
        <v>0</v>
      </c>
      <c r="X112">
        <v>0</v>
      </c>
      <c r="Y112">
        <v>0</v>
      </c>
      <c r="Z112" t="s">
        <v>27</v>
      </c>
      <c r="AA112" s="6" t="s">
        <v>27</v>
      </c>
      <c r="AB112" t="s">
        <v>27</v>
      </c>
      <c r="AD112" t="s">
        <v>199</v>
      </c>
      <c r="AE112" s="1">
        <v>3</v>
      </c>
      <c r="AF112" s="13">
        <v>45107</v>
      </c>
      <c r="AG112">
        <v>0</v>
      </c>
      <c r="AH112">
        <v>0</v>
      </c>
      <c r="AI112">
        <v>0</v>
      </c>
      <c r="AJ112" t="s">
        <v>27</v>
      </c>
      <c r="AK112" s="6" t="s">
        <v>27</v>
      </c>
      <c r="AL112" t="s">
        <v>27</v>
      </c>
      <c r="AN112" t="s">
        <v>199</v>
      </c>
      <c r="AO112" s="1">
        <v>4</v>
      </c>
      <c r="AP112" s="13">
        <v>45114</v>
      </c>
      <c r="AQ112">
        <v>1</v>
      </c>
      <c r="AR112">
        <v>5</v>
      </c>
      <c r="AS112">
        <v>6</v>
      </c>
      <c r="AT112" t="s">
        <v>33</v>
      </c>
      <c r="AU112" s="6" t="s">
        <v>27</v>
      </c>
      <c r="AV112" t="s">
        <v>27</v>
      </c>
      <c r="AX112" t="s">
        <v>199</v>
      </c>
      <c r="AY112" s="1">
        <v>5</v>
      </c>
      <c r="AZ112" s="13">
        <v>45121</v>
      </c>
      <c r="BA112">
        <v>0</v>
      </c>
      <c r="BB112">
        <v>0</v>
      </c>
      <c r="BC112">
        <v>0</v>
      </c>
      <c r="BD112" t="s">
        <v>45</v>
      </c>
      <c r="BE112" s="6" t="s">
        <v>33</v>
      </c>
      <c r="BF112" t="s">
        <v>45</v>
      </c>
      <c r="BH112" t="s">
        <v>199</v>
      </c>
      <c r="BI112" s="1">
        <v>6</v>
      </c>
      <c r="BJ112" s="13">
        <v>45128</v>
      </c>
      <c r="BK112">
        <v>0</v>
      </c>
      <c r="BL112">
        <v>0</v>
      </c>
      <c r="BM112">
        <v>0</v>
      </c>
      <c r="BN112" t="s">
        <v>27</v>
      </c>
      <c r="BO112" s="6" t="s">
        <v>27</v>
      </c>
      <c r="BP112" t="s">
        <v>27</v>
      </c>
      <c r="BR112" t="s">
        <v>199</v>
      </c>
      <c r="BS112" s="1">
        <v>7</v>
      </c>
      <c r="BT112" s="13">
        <v>45135</v>
      </c>
      <c r="BU112">
        <v>0</v>
      </c>
      <c r="BV112">
        <v>0</v>
      </c>
      <c r="BW112">
        <v>0</v>
      </c>
      <c r="BX112" s="51" t="s">
        <v>45</v>
      </c>
      <c r="BY112" s="51" t="s">
        <v>33</v>
      </c>
      <c r="BZ112" s="51" t="s">
        <v>45</v>
      </c>
      <c r="CC112" s="36" t="s">
        <v>199</v>
      </c>
      <c r="CD112" s="30">
        <f t="shared" si="2"/>
        <v>6</v>
      </c>
    </row>
    <row r="113" spans="1:82" s="14" customFormat="1" ht="14.4" x14ac:dyDescent="0.3">
      <c r="A113" s="14" t="s">
        <v>200</v>
      </c>
      <c r="B113" s="14" t="s">
        <v>163</v>
      </c>
      <c r="G113" s="15"/>
      <c r="H113" s="16" t="s">
        <v>25</v>
      </c>
      <c r="I113" s="17" t="s">
        <v>26</v>
      </c>
      <c r="J113" s="14" t="s">
        <v>200</v>
      </c>
      <c r="K113" s="15">
        <v>1</v>
      </c>
      <c r="Q113" s="15"/>
      <c r="R113" s="15"/>
      <c r="S113" s="18"/>
      <c r="T113" s="14" t="s">
        <v>200</v>
      </c>
      <c r="U113" s="15">
        <v>2</v>
      </c>
      <c r="AA113" s="15"/>
      <c r="AC113" s="18"/>
      <c r="AD113" s="14" t="s">
        <v>200</v>
      </c>
      <c r="AE113" s="16">
        <v>3</v>
      </c>
      <c r="AK113" s="15"/>
      <c r="AM113" s="18"/>
      <c r="AN113" s="14" t="s">
        <v>200</v>
      </c>
      <c r="AO113" s="16">
        <v>4</v>
      </c>
      <c r="AU113" s="15"/>
      <c r="AW113" s="18"/>
      <c r="AX113" s="14" t="s">
        <v>200</v>
      </c>
      <c r="AY113" s="16">
        <v>5</v>
      </c>
      <c r="BE113" s="15"/>
      <c r="BG113" s="18"/>
      <c r="BH113" s="14" t="s">
        <v>200</v>
      </c>
      <c r="BI113" s="16">
        <v>6</v>
      </c>
      <c r="BO113" s="15"/>
      <c r="BQ113" s="18"/>
      <c r="BR113" s="14" t="s">
        <v>200</v>
      </c>
      <c r="BS113" s="16">
        <v>7</v>
      </c>
      <c r="BX113" s="52"/>
      <c r="BY113" s="52"/>
      <c r="BZ113" s="52"/>
      <c r="CA113" s="18"/>
      <c r="CC113" s="39" t="s">
        <v>200</v>
      </c>
      <c r="CD113" s="40">
        <f t="shared" si="2"/>
        <v>0</v>
      </c>
    </row>
    <row r="114" spans="1:82" ht="14.4" x14ac:dyDescent="0.3">
      <c r="A114" t="s">
        <v>201</v>
      </c>
      <c r="B114" t="s">
        <v>98</v>
      </c>
      <c r="C114">
        <v>32.559310000000004</v>
      </c>
      <c r="D114">
        <v>-83.508139999999997</v>
      </c>
      <c r="E114" s="13">
        <v>45079</v>
      </c>
      <c r="F114" s="13">
        <v>45086</v>
      </c>
      <c r="H114" s="1" t="s">
        <v>25</v>
      </c>
      <c r="I114" s="12" t="s">
        <v>26</v>
      </c>
      <c r="J114" t="s">
        <v>201</v>
      </c>
      <c r="K114" s="6">
        <v>1</v>
      </c>
      <c r="L114" s="13">
        <v>45093</v>
      </c>
      <c r="M114">
        <v>0</v>
      </c>
      <c r="N114">
        <v>0</v>
      </c>
      <c r="O114">
        <v>0</v>
      </c>
      <c r="P114" t="s">
        <v>27</v>
      </c>
      <c r="Q114" s="6" t="s">
        <v>27</v>
      </c>
      <c r="R114" s="6" t="s">
        <v>27</v>
      </c>
      <c r="S114" s="2"/>
      <c r="T114" t="s">
        <v>201</v>
      </c>
      <c r="U114" s="6">
        <v>2</v>
      </c>
      <c r="V114" s="13">
        <v>45100</v>
      </c>
      <c r="W114">
        <v>0</v>
      </c>
      <c r="X114">
        <v>0</v>
      </c>
      <c r="Y114">
        <v>0</v>
      </c>
      <c r="Z114" t="s">
        <v>27</v>
      </c>
      <c r="AA114" s="6" t="s">
        <v>27</v>
      </c>
      <c r="AB114" t="s">
        <v>27</v>
      </c>
      <c r="AD114" t="s">
        <v>201</v>
      </c>
      <c r="AE114" s="1">
        <v>3</v>
      </c>
      <c r="AF114" s="13">
        <v>45107</v>
      </c>
      <c r="AG114">
        <v>0</v>
      </c>
      <c r="AH114">
        <v>0</v>
      </c>
      <c r="AI114">
        <v>0</v>
      </c>
      <c r="AJ114" t="s">
        <v>27</v>
      </c>
      <c r="AK114" s="6" t="s">
        <v>27</v>
      </c>
      <c r="AL114" t="s">
        <v>27</v>
      </c>
      <c r="AN114" t="s">
        <v>201</v>
      </c>
      <c r="AO114" s="1">
        <v>4</v>
      </c>
      <c r="AP114" s="13">
        <v>45114</v>
      </c>
      <c r="AQ114">
        <v>0</v>
      </c>
      <c r="AR114">
        <v>0</v>
      </c>
      <c r="AS114">
        <v>0</v>
      </c>
      <c r="AT114" t="s">
        <v>27</v>
      </c>
      <c r="AU114" s="6" t="s">
        <v>27</v>
      </c>
      <c r="AV114" t="s">
        <v>27</v>
      </c>
      <c r="AX114" t="s">
        <v>201</v>
      </c>
      <c r="AY114" s="1">
        <v>5</v>
      </c>
      <c r="AZ114" s="13">
        <v>45121</v>
      </c>
      <c r="BA114">
        <v>0</v>
      </c>
      <c r="BB114">
        <v>0</v>
      </c>
      <c r="BC114">
        <v>0</v>
      </c>
      <c r="BD114" t="s">
        <v>27</v>
      </c>
      <c r="BE114" s="6" t="s">
        <v>27</v>
      </c>
      <c r="BF114" t="s">
        <v>27</v>
      </c>
      <c r="BH114" t="s">
        <v>201</v>
      </c>
      <c r="BI114" s="1">
        <v>6</v>
      </c>
      <c r="BJ114" s="13">
        <v>45128</v>
      </c>
      <c r="BK114">
        <v>0</v>
      </c>
      <c r="BL114">
        <v>0</v>
      </c>
      <c r="BM114">
        <v>0</v>
      </c>
      <c r="BN114" t="s">
        <v>27</v>
      </c>
      <c r="BO114" s="6" t="s">
        <v>27</v>
      </c>
      <c r="BP114" t="s">
        <v>27</v>
      </c>
      <c r="BR114" t="s">
        <v>201</v>
      </c>
      <c r="BS114" s="1">
        <v>7</v>
      </c>
      <c r="BT114" s="13">
        <v>45135</v>
      </c>
      <c r="BU114">
        <v>0</v>
      </c>
      <c r="BV114">
        <v>0</v>
      </c>
      <c r="BW114">
        <v>0</v>
      </c>
      <c r="BX114" s="51" t="s">
        <v>27</v>
      </c>
      <c r="BY114" s="51" t="s">
        <v>27</v>
      </c>
      <c r="BZ114" s="51" t="s">
        <v>27</v>
      </c>
      <c r="CC114" s="36" t="s">
        <v>201</v>
      </c>
      <c r="CD114" s="30">
        <f t="shared" si="2"/>
        <v>0</v>
      </c>
    </row>
    <row r="115" spans="1:82" ht="14.4" x14ac:dyDescent="0.3">
      <c r="A115" t="s">
        <v>202</v>
      </c>
      <c r="B115" t="s">
        <v>96</v>
      </c>
      <c r="C115">
        <v>32.563369999999999</v>
      </c>
      <c r="D115">
        <v>-83.492660000000001</v>
      </c>
      <c r="E115" s="13">
        <v>45079</v>
      </c>
      <c r="F115" s="13">
        <v>45086</v>
      </c>
      <c r="H115" s="1" t="s">
        <v>25</v>
      </c>
      <c r="I115" s="12" t="s">
        <v>26</v>
      </c>
      <c r="J115" t="s">
        <v>202</v>
      </c>
      <c r="K115" s="6">
        <v>1</v>
      </c>
      <c r="L115" s="13">
        <v>45093</v>
      </c>
      <c r="M115">
        <v>0</v>
      </c>
      <c r="N115">
        <v>0</v>
      </c>
      <c r="O115">
        <v>0</v>
      </c>
      <c r="P115" t="s">
        <v>27</v>
      </c>
      <c r="Q115" s="6" t="s">
        <v>27</v>
      </c>
      <c r="R115" s="6" t="s">
        <v>27</v>
      </c>
      <c r="S115" s="2"/>
      <c r="T115" t="s">
        <v>202</v>
      </c>
      <c r="U115" s="6">
        <v>2</v>
      </c>
      <c r="V115" s="13">
        <v>45100</v>
      </c>
      <c r="W115">
        <v>0</v>
      </c>
      <c r="X115">
        <v>3</v>
      </c>
      <c r="Y115">
        <v>3</v>
      </c>
      <c r="Z115" t="s">
        <v>33</v>
      </c>
      <c r="AA115" s="6" t="s">
        <v>27</v>
      </c>
      <c r="AB115" t="s">
        <v>27</v>
      </c>
      <c r="AD115" t="s">
        <v>202</v>
      </c>
      <c r="AE115" s="1">
        <v>3</v>
      </c>
      <c r="AF115" s="13">
        <v>45107</v>
      </c>
      <c r="AG115">
        <v>1</v>
      </c>
      <c r="AH115">
        <v>0</v>
      </c>
      <c r="AI115">
        <v>1</v>
      </c>
      <c r="AJ115" t="s">
        <v>33</v>
      </c>
      <c r="AK115" s="6" t="s">
        <v>33</v>
      </c>
      <c r="AL115" t="s">
        <v>27</v>
      </c>
      <c r="AN115" t="s">
        <v>202</v>
      </c>
      <c r="AO115" s="1">
        <v>4</v>
      </c>
      <c r="AP115" s="13">
        <v>45114</v>
      </c>
      <c r="AQ115">
        <v>0</v>
      </c>
      <c r="AR115">
        <v>0</v>
      </c>
      <c r="AS115">
        <v>0</v>
      </c>
      <c r="AT115" t="s">
        <v>27</v>
      </c>
      <c r="AU115" s="6" t="s">
        <v>27</v>
      </c>
      <c r="AV115" t="s">
        <v>27</v>
      </c>
      <c r="AX115" t="s">
        <v>202</v>
      </c>
      <c r="AY115" s="1">
        <v>5</v>
      </c>
      <c r="AZ115" s="13">
        <v>45121</v>
      </c>
      <c r="BA115">
        <v>0</v>
      </c>
      <c r="BB115">
        <v>0</v>
      </c>
      <c r="BC115">
        <v>0</v>
      </c>
      <c r="BD115" t="s">
        <v>27</v>
      </c>
      <c r="BE115" s="6" t="s">
        <v>27</v>
      </c>
      <c r="BF115" t="s">
        <v>27</v>
      </c>
      <c r="BH115" t="s">
        <v>202</v>
      </c>
      <c r="BI115" s="1">
        <v>6</v>
      </c>
      <c r="BJ115" s="13">
        <v>45128</v>
      </c>
      <c r="BK115">
        <v>0</v>
      </c>
      <c r="BL115">
        <v>0</v>
      </c>
      <c r="BM115">
        <v>0</v>
      </c>
      <c r="BN115" t="s">
        <v>27</v>
      </c>
      <c r="BO115" s="6" t="s">
        <v>27</v>
      </c>
      <c r="BP115" t="s">
        <v>27</v>
      </c>
      <c r="BR115" t="s">
        <v>202</v>
      </c>
      <c r="BS115" s="1">
        <v>7</v>
      </c>
      <c r="BT115" s="13">
        <v>45135</v>
      </c>
      <c r="BU115">
        <v>0</v>
      </c>
      <c r="BV115">
        <v>0</v>
      </c>
      <c r="BW115">
        <v>0</v>
      </c>
      <c r="BX115" s="51" t="s">
        <v>27</v>
      </c>
      <c r="BY115" s="51" t="s">
        <v>27</v>
      </c>
      <c r="BZ115" s="51" t="s">
        <v>27</v>
      </c>
      <c r="CC115" s="36" t="s">
        <v>202</v>
      </c>
      <c r="CD115" s="30">
        <f t="shared" si="2"/>
        <v>4</v>
      </c>
    </row>
    <row r="116" spans="1:82" ht="14.4" x14ac:dyDescent="0.3">
      <c r="A116" t="s">
        <v>203</v>
      </c>
      <c r="B116" t="s">
        <v>96</v>
      </c>
      <c r="C116">
        <v>32.561810000000001</v>
      </c>
      <c r="D116">
        <v>-83.472049999999996</v>
      </c>
      <c r="E116" s="13">
        <v>45078</v>
      </c>
      <c r="F116" s="13">
        <v>45086</v>
      </c>
      <c r="H116" s="1" t="s">
        <v>25</v>
      </c>
      <c r="I116" s="12" t="s">
        <v>26</v>
      </c>
      <c r="J116" t="s">
        <v>203</v>
      </c>
      <c r="K116" s="6">
        <v>1</v>
      </c>
      <c r="L116" s="13">
        <v>45093</v>
      </c>
      <c r="M116">
        <v>0</v>
      </c>
      <c r="N116">
        <v>0</v>
      </c>
      <c r="O116">
        <v>0</v>
      </c>
      <c r="P116" t="s">
        <v>27</v>
      </c>
      <c r="Q116" s="6" t="s">
        <v>27</v>
      </c>
      <c r="R116" s="6" t="s">
        <v>27</v>
      </c>
      <c r="S116" s="2"/>
      <c r="T116" t="s">
        <v>203</v>
      </c>
      <c r="U116" s="6">
        <v>2</v>
      </c>
      <c r="V116" s="13">
        <v>45100</v>
      </c>
      <c r="W116">
        <v>0</v>
      </c>
      <c r="X116">
        <v>0</v>
      </c>
      <c r="Y116">
        <v>0</v>
      </c>
      <c r="Z116" t="s">
        <v>27</v>
      </c>
      <c r="AA116" s="6" t="s">
        <v>27</v>
      </c>
      <c r="AB116" t="s">
        <v>27</v>
      </c>
      <c r="AD116" t="s">
        <v>203</v>
      </c>
      <c r="AE116" s="1">
        <v>3</v>
      </c>
      <c r="AF116" s="13">
        <v>45107</v>
      </c>
      <c r="AG116">
        <v>0</v>
      </c>
      <c r="AH116">
        <v>0</v>
      </c>
      <c r="AI116">
        <v>0</v>
      </c>
      <c r="AJ116" t="s">
        <v>27</v>
      </c>
      <c r="AK116" s="6" t="s">
        <v>27</v>
      </c>
      <c r="AL116" t="s">
        <v>27</v>
      </c>
      <c r="AN116" t="s">
        <v>203</v>
      </c>
      <c r="AO116" s="1">
        <v>4</v>
      </c>
      <c r="AP116" s="13">
        <v>45114</v>
      </c>
      <c r="AQ116">
        <v>0</v>
      </c>
      <c r="AR116">
        <v>0</v>
      </c>
      <c r="AS116">
        <v>0</v>
      </c>
      <c r="AX116" t="s">
        <v>203</v>
      </c>
      <c r="AY116" s="1">
        <v>5</v>
      </c>
      <c r="AZ116" s="13">
        <v>45121</v>
      </c>
      <c r="BA116">
        <v>0</v>
      </c>
      <c r="BB116">
        <v>0</v>
      </c>
      <c r="BC116">
        <v>0</v>
      </c>
      <c r="BD116" t="s">
        <v>27</v>
      </c>
      <c r="BE116" s="6" t="s">
        <v>27</v>
      </c>
      <c r="BF116" t="s">
        <v>27</v>
      </c>
      <c r="BH116" t="s">
        <v>203</v>
      </c>
      <c r="BI116" s="1">
        <v>6</v>
      </c>
      <c r="BJ116" s="13">
        <v>45128</v>
      </c>
      <c r="BK116">
        <v>0</v>
      </c>
      <c r="BL116">
        <v>0</v>
      </c>
      <c r="BM116">
        <v>0</v>
      </c>
      <c r="BN116" t="s">
        <v>45</v>
      </c>
      <c r="BO116" s="6" t="s">
        <v>33</v>
      </c>
      <c r="BP116" t="s">
        <v>45</v>
      </c>
      <c r="BR116" t="s">
        <v>203</v>
      </c>
      <c r="BS116" s="1">
        <v>7</v>
      </c>
      <c r="BT116" s="13">
        <v>45135</v>
      </c>
      <c r="BU116">
        <v>0</v>
      </c>
      <c r="BV116">
        <v>0</v>
      </c>
      <c r="BW116">
        <v>0</v>
      </c>
      <c r="BX116" s="51" t="s">
        <v>27</v>
      </c>
      <c r="BY116" s="51" t="s">
        <v>27</v>
      </c>
      <c r="BZ116" s="51" t="s">
        <v>27</v>
      </c>
      <c r="CC116" s="36" t="s">
        <v>203</v>
      </c>
      <c r="CD116" s="30">
        <f t="shared" si="2"/>
        <v>0</v>
      </c>
    </row>
    <row r="117" spans="1:82" ht="14.4" x14ac:dyDescent="0.3">
      <c r="A117" t="s">
        <v>204</v>
      </c>
      <c r="B117" t="s">
        <v>96</v>
      </c>
      <c r="C117" s="21">
        <v>32.5593</v>
      </c>
      <c r="D117">
        <v>-83.454679999999996</v>
      </c>
      <c r="E117" s="13">
        <v>45080</v>
      </c>
      <c r="F117" s="13">
        <v>45085</v>
      </c>
      <c r="H117" s="1" t="s">
        <v>25</v>
      </c>
      <c r="I117" s="12" t="s">
        <v>26</v>
      </c>
      <c r="J117" t="s">
        <v>204</v>
      </c>
      <c r="K117" s="6">
        <v>1</v>
      </c>
      <c r="L117" s="13">
        <v>45092</v>
      </c>
      <c r="M117">
        <v>0</v>
      </c>
      <c r="N117">
        <v>0</v>
      </c>
      <c r="O117">
        <v>0</v>
      </c>
      <c r="P117" t="s">
        <v>45</v>
      </c>
      <c r="Q117" s="6" t="s">
        <v>33</v>
      </c>
      <c r="R117" s="6" t="s">
        <v>205</v>
      </c>
      <c r="S117" s="2" t="s">
        <v>206</v>
      </c>
      <c r="T117" t="s">
        <v>204</v>
      </c>
      <c r="U117" s="6">
        <v>2</v>
      </c>
      <c r="V117" s="13">
        <v>45099</v>
      </c>
      <c r="W117">
        <v>0</v>
      </c>
      <c r="X117">
        <v>0</v>
      </c>
      <c r="Y117">
        <v>0</v>
      </c>
      <c r="Z117" t="s">
        <v>45</v>
      </c>
      <c r="AA117" s="6" t="s">
        <v>33</v>
      </c>
      <c r="AB117" t="s">
        <v>45</v>
      </c>
      <c r="AD117" t="s">
        <v>204</v>
      </c>
      <c r="AE117" s="1">
        <v>3</v>
      </c>
      <c r="AF117" s="13">
        <v>45106</v>
      </c>
      <c r="AG117">
        <v>0</v>
      </c>
      <c r="AH117">
        <v>0</v>
      </c>
      <c r="AI117">
        <v>0</v>
      </c>
      <c r="AJ117" t="s">
        <v>27</v>
      </c>
      <c r="AK117" s="6" t="s">
        <v>27</v>
      </c>
      <c r="AL117" t="s">
        <v>27</v>
      </c>
      <c r="AN117" t="s">
        <v>204</v>
      </c>
      <c r="AO117" s="1">
        <v>4</v>
      </c>
      <c r="AP117" s="13">
        <v>45113</v>
      </c>
      <c r="AQ117">
        <v>7</v>
      </c>
      <c r="AR117">
        <v>5</v>
      </c>
      <c r="AS117">
        <v>12</v>
      </c>
      <c r="AT117" t="s">
        <v>33</v>
      </c>
      <c r="AU117" s="6" t="s">
        <v>33</v>
      </c>
      <c r="AV117" t="s">
        <v>27</v>
      </c>
      <c r="AX117" t="s">
        <v>204</v>
      </c>
      <c r="AY117" s="1">
        <v>5</v>
      </c>
      <c r="AZ117" s="13">
        <v>45120</v>
      </c>
      <c r="BA117">
        <v>1</v>
      </c>
      <c r="BB117">
        <v>0</v>
      </c>
      <c r="BC117">
        <v>1</v>
      </c>
      <c r="BD117" t="s">
        <v>33</v>
      </c>
      <c r="BE117" s="6" t="s">
        <v>33</v>
      </c>
      <c r="BF117" t="s">
        <v>27</v>
      </c>
      <c r="BH117" t="s">
        <v>204</v>
      </c>
      <c r="BI117" s="1">
        <v>6</v>
      </c>
      <c r="BJ117" s="13">
        <v>45127</v>
      </c>
      <c r="BK117">
        <v>3</v>
      </c>
      <c r="BL117">
        <v>2</v>
      </c>
      <c r="BM117">
        <v>5</v>
      </c>
      <c r="BN117" t="s">
        <v>33</v>
      </c>
      <c r="BO117" s="6" t="s">
        <v>33</v>
      </c>
      <c r="BP117" t="s">
        <v>27</v>
      </c>
      <c r="BR117" t="s">
        <v>204</v>
      </c>
      <c r="BS117" s="1">
        <v>7</v>
      </c>
      <c r="BT117" s="13">
        <v>45134</v>
      </c>
      <c r="BU117">
        <v>0</v>
      </c>
      <c r="BV117">
        <v>1</v>
      </c>
      <c r="BW117">
        <v>1</v>
      </c>
      <c r="BX117" s="51" t="s">
        <v>33</v>
      </c>
      <c r="BY117" s="51" t="s">
        <v>33</v>
      </c>
      <c r="BZ117" s="51" t="s">
        <v>27</v>
      </c>
      <c r="CC117" s="36" t="s">
        <v>204</v>
      </c>
      <c r="CD117" s="30">
        <f t="shared" si="2"/>
        <v>19</v>
      </c>
    </row>
    <row r="118" spans="1:82" ht="14.4" x14ac:dyDescent="0.3">
      <c r="A118" t="s">
        <v>207</v>
      </c>
      <c r="B118" t="s">
        <v>208</v>
      </c>
      <c r="C118">
        <v>32.561059999999998</v>
      </c>
      <c r="D118">
        <v>-83.400649999999999</v>
      </c>
      <c r="E118" s="13">
        <v>45081</v>
      </c>
      <c r="F118" s="13">
        <v>45087</v>
      </c>
      <c r="H118" s="1" t="s">
        <v>25</v>
      </c>
      <c r="I118" s="12" t="s">
        <v>26</v>
      </c>
      <c r="J118" t="s">
        <v>207</v>
      </c>
      <c r="K118" s="6">
        <v>1</v>
      </c>
      <c r="L118" s="13">
        <v>45094</v>
      </c>
      <c r="M118">
        <v>0</v>
      </c>
      <c r="N118">
        <v>0</v>
      </c>
      <c r="O118">
        <v>0</v>
      </c>
      <c r="P118" t="s">
        <v>27</v>
      </c>
      <c r="Q118" s="6" t="s">
        <v>27</v>
      </c>
      <c r="R118" s="6" t="s">
        <v>27</v>
      </c>
      <c r="S118" s="2"/>
      <c r="T118" t="s">
        <v>207</v>
      </c>
      <c r="U118" s="6">
        <v>2</v>
      </c>
      <c r="V118" s="13">
        <v>45101</v>
      </c>
      <c r="W118">
        <v>0</v>
      </c>
      <c r="X118">
        <v>0</v>
      </c>
      <c r="Y118">
        <v>0</v>
      </c>
      <c r="Z118" t="s">
        <v>27</v>
      </c>
      <c r="AA118" s="6" t="s">
        <v>27</v>
      </c>
      <c r="AB118" t="s">
        <v>27</v>
      </c>
      <c r="AD118" t="s">
        <v>207</v>
      </c>
      <c r="AE118" s="1">
        <v>3</v>
      </c>
      <c r="AF118" s="13">
        <v>45108</v>
      </c>
      <c r="AG118">
        <v>0</v>
      </c>
      <c r="AH118">
        <v>0</v>
      </c>
      <c r="AI118">
        <v>0</v>
      </c>
      <c r="AJ118" t="s">
        <v>27</v>
      </c>
      <c r="AK118" s="6" t="s">
        <v>27</v>
      </c>
      <c r="AL118" t="s">
        <v>27</v>
      </c>
      <c r="AN118" t="s">
        <v>207</v>
      </c>
      <c r="AO118" s="1">
        <v>4</v>
      </c>
      <c r="AP118" s="13">
        <v>45115</v>
      </c>
      <c r="AQ118">
        <v>0</v>
      </c>
      <c r="AR118">
        <v>0</v>
      </c>
      <c r="AS118">
        <v>0</v>
      </c>
      <c r="AT118" t="s">
        <v>27</v>
      </c>
      <c r="AU118" s="6" t="s">
        <v>27</v>
      </c>
      <c r="AV118" t="s">
        <v>27</v>
      </c>
      <c r="AX118" t="s">
        <v>207</v>
      </c>
      <c r="AY118" s="1">
        <v>5</v>
      </c>
      <c r="AZ118" s="13">
        <v>45122</v>
      </c>
      <c r="BA118">
        <v>0</v>
      </c>
      <c r="BB118">
        <v>0</v>
      </c>
      <c r="BC118">
        <v>0</v>
      </c>
      <c r="BD118" t="s">
        <v>27</v>
      </c>
      <c r="BE118" s="6" t="s">
        <v>27</v>
      </c>
      <c r="BF118" t="s">
        <v>27</v>
      </c>
      <c r="BH118" t="s">
        <v>207</v>
      </c>
      <c r="BI118" s="1">
        <v>6</v>
      </c>
      <c r="BJ118" s="13">
        <v>45129</v>
      </c>
      <c r="BK118">
        <v>0</v>
      </c>
      <c r="BL118">
        <v>0</v>
      </c>
      <c r="BM118">
        <v>0</v>
      </c>
      <c r="BN118" t="s">
        <v>27</v>
      </c>
      <c r="BO118" s="6" t="s">
        <v>27</v>
      </c>
      <c r="BP118" t="s">
        <v>27</v>
      </c>
      <c r="BR118" t="s">
        <v>207</v>
      </c>
      <c r="BS118" s="1">
        <v>7</v>
      </c>
      <c r="BT118" s="13">
        <v>45136</v>
      </c>
      <c r="BU118">
        <v>0</v>
      </c>
      <c r="BV118">
        <v>0</v>
      </c>
      <c r="BW118">
        <v>0</v>
      </c>
      <c r="BX118" s="51" t="s">
        <v>27</v>
      </c>
      <c r="BY118" s="51" t="s">
        <v>27</v>
      </c>
      <c r="BZ118" s="51" t="s">
        <v>27</v>
      </c>
      <c r="CC118" s="36" t="s">
        <v>207</v>
      </c>
      <c r="CD118" s="30">
        <f t="shared" si="2"/>
        <v>0</v>
      </c>
    </row>
    <row r="119" spans="1:82" ht="14.4" x14ac:dyDescent="0.3">
      <c r="A119" t="s">
        <v>209</v>
      </c>
      <c r="B119" t="s">
        <v>208</v>
      </c>
      <c r="C119">
        <v>32.567819999999998</v>
      </c>
      <c r="D119">
        <v>-83.523049999999998</v>
      </c>
      <c r="E119" s="13">
        <v>45080</v>
      </c>
      <c r="F119" s="13">
        <v>45087</v>
      </c>
      <c r="H119" s="1" t="s">
        <v>25</v>
      </c>
      <c r="I119" s="12" t="s">
        <v>26</v>
      </c>
      <c r="J119" t="s">
        <v>209</v>
      </c>
      <c r="K119" s="6">
        <v>1</v>
      </c>
      <c r="L119" s="13">
        <v>45094</v>
      </c>
      <c r="M119">
        <v>6</v>
      </c>
      <c r="N119">
        <v>6</v>
      </c>
      <c r="O119">
        <v>12</v>
      </c>
      <c r="P119" t="s">
        <v>33</v>
      </c>
      <c r="Q119" s="6" t="s">
        <v>33</v>
      </c>
      <c r="R119" s="6" t="s">
        <v>27</v>
      </c>
      <c r="S119" s="2"/>
      <c r="T119" t="s">
        <v>209</v>
      </c>
      <c r="U119" s="6">
        <v>2</v>
      </c>
      <c r="V119" s="13">
        <v>45101</v>
      </c>
      <c r="W119">
        <v>0</v>
      </c>
      <c r="X119">
        <v>0</v>
      </c>
      <c r="Y119">
        <v>0</v>
      </c>
      <c r="Z119" t="s">
        <v>27</v>
      </c>
      <c r="AA119" s="6" t="s">
        <v>27</v>
      </c>
      <c r="AB119" t="s">
        <v>27</v>
      </c>
      <c r="AD119" t="s">
        <v>209</v>
      </c>
      <c r="AE119" s="1">
        <v>3</v>
      </c>
      <c r="AF119" s="13">
        <v>45108</v>
      </c>
      <c r="AG119">
        <v>0</v>
      </c>
      <c r="AH119">
        <v>0</v>
      </c>
      <c r="AI119">
        <v>0</v>
      </c>
      <c r="AJ119" t="s">
        <v>27</v>
      </c>
      <c r="AK119" s="6" t="s">
        <v>27</v>
      </c>
      <c r="AL119" t="s">
        <v>27</v>
      </c>
      <c r="AN119" t="s">
        <v>209</v>
      </c>
      <c r="AO119" s="1">
        <v>4</v>
      </c>
      <c r="AP119" s="13">
        <v>45115</v>
      </c>
      <c r="AQ119">
        <v>0</v>
      </c>
      <c r="AR119">
        <v>0</v>
      </c>
      <c r="AS119">
        <v>0</v>
      </c>
      <c r="AT119" t="s">
        <v>27</v>
      </c>
      <c r="AU119" s="6" t="s">
        <v>27</v>
      </c>
      <c r="AV119" t="s">
        <v>27</v>
      </c>
      <c r="AX119" t="s">
        <v>209</v>
      </c>
      <c r="AY119" s="1">
        <v>5</v>
      </c>
      <c r="AZ119" s="13">
        <v>45122</v>
      </c>
      <c r="BA119">
        <v>0</v>
      </c>
      <c r="BB119">
        <v>0</v>
      </c>
      <c r="BC119">
        <v>0</v>
      </c>
      <c r="BD119" t="s">
        <v>27</v>
      </c>
      <c r="BE119" s="6" t="s">
        <v>27</v>
      </c>
      <c r="BF119" t="s">
        <v>27</v>
      </c>
      <c r="BH119" t="s">
        <v>209</v>
      </c>
      <c r="BI119" s="1">
        <v>6</v>
      </c>
      <c r="BJ119" s="13">
        <v>45129</v>
      </c>
      <c r="BK119">
        <v>0</v>
      </c>
      <c r="BL119">
        <v>0</v>
      </c>
      <c r="BM119">
        <v>0</v>
      </c>
      <c r="BN119" t="s">
        <v>27</v>
      </c>
      <c r="BO119" s="6" t="s">
        <v>27</v>
      </c>
      <c r="BP119" t="s">
        <v>27</v>
      </c>
      <c r="BR119" t="s">
        <v>209</v>
      </c>
      <c r="BS119" s="1">
        <v>7</v>
      </c>
      <c r="BT119" s="13">
        <v>45136</v>
      </c>
      <c r="BU119">
        <v>0</v>
      </c>
      <c r="BV119">
        <v>0</v>
      </c>
      <c r="BW119">
        <v>0</v>
      </c>
      <c r="BX119" s="51" t="s">
        <v>27</v>
      </c>
      <c r="BY119" s="51" t="s">
        <v>27</v>
      </c>
      <c r="BZ119" s="51" t="s">
        <v>27</v>
      </c>
      <c r="CC119" s="36" t="s">
        <v>209</v>
      </c>
      <c r="CD119" s="30">
        <f t="shared" si="2"/>
        <v>12</v>
      </c>
    </row>
    <row r="120" spans="1:82" ht="14.4" x14ac:dyDescent="0.3">
      <c r="A120" t="s">
        <v>210</v>
      </c>
      <c r="B120" t="s">
        <v>208</v>
      </c>
      <c r="C120">
        <v>32.573140000000002</v>
      </c>
      <c r="D120">
        <v>-83.533569999999997</v>
      </c>
      <c r="E120" s="13">
        <v>45081</v>
      </c>
      <c r="F120" s="13">
        <v>45087</v>
      </c>
      <c r="H120" s="1" t="s">
        <v>25</v>
      </c>
      <c r="I120" s="12" t="s">
        <v>26</v>
      </c>
      <c r="J120" t="s">
        <v>210</v>
      </c>
      <c r="K120" s="6">
        <v>1</v>
      </c>
      <c r="L120" s="13">
        <v>45094</v>
      </c>
      <c r="M120">
        <v>1</v>
      </c>
      <c r="N120">
        <v>0</v>
      </c>
      <c r="O120">
        <v>1</v>
      </c>
      <c r="P120" t="s">
        <v>27</v>
      </c>
      <c r="Q120" s="6" t="s">
        <v>27</v>
      </c>
      <c r="R120" s="6" t="s">
        <v>28</v>
      </c>
      <c r="S120" s="2"/>
      <c r="T120" t="s">
        <v>210</v>
      </c>
      <c r="U120" s="6">
        <v>2</v>
      </c>
      <c r="V120" t="s">
        <v>211</v>
      </c>
      <c r="AC120" s="2" t="s">
        <v>212</v>
      </c>
      <c r="AD120" t="s">
        <v>210</v>
      </c>
      <c r="AE120" s="1">
        <v>3</v>
      </c>
      <c r="AF120" s="13">
        <v>45108</v>
      </c>
      <c r="AG120">
        <v>0</v>
      </c>
      <c r="AH120">
        <v>1</v>
      </c>
      <c r="AI120">
        <v>1</v>
      </c>
      <c r="AJ120" t="s">
        <v>45</v>
      </c>
      <c r="AK120" s="6" t="s">
        <v>27</v>
      </c>
      <c r="AL120" t="s">
        <v>45</v>
      </c>
      <c r="AN120" t="s">
        <v>210</v>
      </c>
      <c r="AO120" s="1">
        <v>4</v>
      </c>
      <c r="AP120" s="13">
        <v>45115</v>
      </c>
      <c r="AQ120">
        <v>0</v>
      </c>
      <c r="AR120">
        <v>0</v>
      </c>
      <c r="AS120">
        <v>0</v>
      </c>
      <c r="AT120" t="s">
        <v>27</v>
      </c>
      <c r="AU120" s="6" t="s">
        <v>27</v>
      </c>
      <c r="AV120" t="s">
        <v>27</v>
      </c>
      <c r="AX120" t="s">
        <v>210</v>
      </c>
      <c r="AY120" s="1">
        <v>5</v>
      </c>
      <c r="AZ120" s="13">
        <v>45122</v>
      </c>
      <c r="BA120">
        <v>0</v>
      </c>
      <c r="BB120">
        <v>0</v>
      </c>
      <c r="BC120">
        <v>0</v>
      </c>
      <c r="BD120" t="s">
        <v>27</v>
      </c>
      <c r="BE120" s="6" t="s">
        <v>27</v>
      </c>
      <c r="BF120" t="s">
        <v>27</v>
      </c>
      <c r="BH120" t="s">
        <v>210</v>
      </c>
      <c r="BI120" s="1">
        <v>6</v>
      </c>
      <c r="BJ120" s="13">
        <v>45129</v>
      </c>
      <c r="BK120">
        <v>0</v>
      </c>
      <c r="BL120">
        <v>0</v>
      </c>
      <c r="BM120">
        <v>0</v>
      </c>
      <c r="BN120" t="s">
        <v>27</v>
      </c>
      <c r="BO120" s="6" t="s">
        <v>27</v>
      </c>
      <c r="BP120" t="s">
        <v>27</v>
      </c>
      <c r="BR120" t="s">
        <v>210</v>
      </c>
      <c r="BS120" s="1">
        <v>7</v>
      </c>
      <c r="BT120" s="13">
        <v>45136</v>
      </c>
      <c r="BU120">
        <v>0</v>
      </c>
      <c r="BV120">
        <v>0</v>
      </c>
      <c r="BW120">
        <v>0</v>
      </c>
      <c r="BX120" s="51" t="s">
        <v>27</v>
      </c>
      <c r="BY120" s="51" t="s">
        <v>27</v>
      </c>
      <c r="BZ120" s="51" t="s">
        <v>27</v>
      </c>
      <c r="CC120" s="36" t="s">
        <v>210</v>
      </c>
      <c r="CD120" s="30">
        <f t="shared" si="2"/>
        <v>2</v>
      </c>
    </row>
    <row r="121" spans="1:82" ht="14.4" x14ac:dyDescent="0.3">
      <c r="A121" t="s">
        <v>213</v>
      </c>
      <c r="B121" t="s">
        <v>98</v>
      </c>
      <c r="C121">
        <v>32.570030000000003</v>
      </c>
      <c r="D121">
        <v>-83.503919999999994</v>
      </c>
      <c r="E121" s="13">
        <v>45079</v>
      </c>
      <c r="F121" s="13">
        <v>45086</v>
      </c>
      <c r="H121" s="1" t="s">
        <v>25</v>
      </c>
      <c r="I121" s="12" t="s">
        <v>26</v>
      </c>
      <c r="J121" t="s">
        <v>213</v>
      </c>
      <c r="K121" s="6">
        <v>1</v>
      </c>
      <c r="L121" s="13">
        <v>45093</v>
      </c>
      <c r="M121">
        <v>0</v>
      </c>
      <c r="N121">
        <v>0</v>
      </c>
      <c r="O121">
        <v>0</v>
      </c>
      <c r="P121" t="s">
        <v>27</v>
      </c>
      <c r="Q121" s="6" t="s">
        <v>27</v>
      </c>
      <c r="R121" s="6" t="s">
        <v>27</v>
      </c>
      <c r="S121" s="2"/>
      <c r="T121" t="s">
        <v>213</v>
      </c>
      <c r="U121" s="6">
        <v>2</v>
      </c>
      <c r="V121" s="13">
        <v>45100</v>
      </c>
      <c r="W121">
        <v>0</v>
      </c>
      <c r="X121">
        <v>0</v>
      </c>
      <c r="Y121">
        <v>0</v>
      </c>
      <c r="Z121" t="s">
        <v>27</v>
      </c>
      <c r="AA121" s="6" t="s">
        <v>27</v>
      </c>
      <c r="AB121" t="s">
        <v>27</v>
      </c>
      <c r="AD121" t="s">
        <v>213</v>
      </c>
      <c r="AE121" s="1">
        <v>3</v>
      </c>
      <c r="AF121" s="13">
        <v>45107</v>
      </c>
      <c r="AG121">
        <v>0</v>
      </c>
      <c r="AH121">
        <v>0</v>
      </c>
      <c r="AI121">
        <v>0</v>
      </c>
      <c r="AJ121" t="s">
        <v>27</v>
      </c>
      <c r="AK121" s="6" t="s">
        <v>27</v>
      </c>
      <c r="AL121" t="s">
        <v>27</v>
      </c>
      <c r="AN121" t="s">
        <v>213</v>
      </c>
      <c r="AO121" s="1">
        <v>4</v>
      </c>
      <c r="AP121" s="13">
        <v>45114</v>
      </c>
      <c r="AQ121">
        <v>0</v>
      </c>
      <c r="AR121">
        <v>0</v>
      </c>
      <c r="AS121">
        <v>0</v>
      </c>
      <c r="AT121" t="s">
        <v>27</v>
      </c>
      <c r="AU121" s="6" t="s">
        <v>27</v>
      </c>
      <c r="AV121" t="s">
        <v>27</v>
      </c>
      <c r="AX121" t="s">
        <v>213</v>
      </c>
      <c r="AY121" s="1">
        <v>5</v>
      </c>
      <c r="AZ121" s="13">
        <v>45121</v>
      </c>
      <c r="BA121">
        <v>0</v>
      </c>
      <c r="BB121">
        <v>0</v>
      </c>
      <c r="BC121">
        <v>0</v>
      </c>
      <c r="BD121" t="s">
        <v>27</v>
      </c>
      <c r="BE121" s="6" t="s">
        <v>27</v>
      </c>
      <c r="BF121" t="s">
        <v>27</v>
      </c>
      <c r="BH121" t="s">
        <v>213</v>
      </c>
      <c r="BI121" s="1">
        <v>6</v>
      </c>
      <c r="BJ121" s="13">
        <v>45128</v>
      </c>
      <c r="BK121">
        <v>0</v>
      </c>
      <c r="BL121">
        <v>0</v>
      </c>
      <c r="BM121">
        <v>0</v>
      </c>
      <c r="BN121" t="s">
        <v>27</v>
      </c>
      <c r="BO121" s="6" t="s">
        <v>27</v>
      </c>
      <c r="BP121" t="s">
        <v>27</v>
      </c>
      <c r="BR121" t="s">
        <v>213</v>
      </c>
      <c r="BS121" s="1">
        <v>7</v>
      </c>
      <c r="BT121" s="13">
        <v>45135</v>
      </c>
      <c r="BU121">
        <v>0</v>
      </c>
      <c r="BV121">
        <v>0</v>
      </c>
      <c r="BW121">
        <v>0</v>
      </c>
      <c r="BX121" s="51" t="s">
        <v>27</v>
      </c>
      <c r="BY121" s="51" t="s">
        <v>27</v>
      </c>
      <c r="BZ121" s="51" t="s">
        <v>27</v>
      </c>
      <c r="CC121" s="36" t="s">
        <v>213</v>
      </c>
      <c r="CD121" s="30">
        <f t="shared" si="2"/>
        <v>0</v>
      </c>
    </row>
    <row r="122" spans="1:82" ht="14.4" x14ac:dyDescent="0.3">
      <c r="A122" t="s">
        <v>214</v>
      </c>
      <c r="B122" t="s">
        <v>98</v>
      </c>
      <c r="C122">
        <v>32.57649</v>
      </c>
      <c r="D122">
        <v>-83.490049999999997</v>
      </c>
      <c r="E122" s="13">
        <v>45079</v>
      </c>
      <c r="F122" s="13">
        <v>45086</v>
      </c>
      <c r="H122" s="1" t="s">
        <v>25</v>
      </c>
      <c r="I122" s="12" t="s">
        <v>26</v>
      </c>
      <c r="J122" t="s">
        <v>214</v>
      </c>
      <c r="K122" s="6">
        <v>1</v>
      </c>
      <c r="L122" s="13">
        <v>45093</v>
      </c>
      <c r="M122">
        <v>0</v>
      </c>
      <c r="N122">
        <v>0</v>
      </c>
      <c r="O122">
        <v>0</v>
      </c>
      <c r="P122" t="s">
        <v>27</v>
      </c>
      <c r="Q122" s="6" t="s">
        <v>27</v>
      </c>
      <c r="R122" s="6" t="s">
        <v>27</v>
      </c>
      <c r="S122" s="2"/>
      <c r="T122" t="s">
        <v>214</v>
      </c>
      <c r="U122" s="6">
        <v>2</v>
      </c>
      <c r="V122" s="13">
        <v>45100</v>
      </c>
      <c r="W122">
        <v>0</v>
      </c>
      <c r="X122">
        <v>0</v>
      </c>
      <c r="Y122">
        <v>0</v>
      </c>
      <c r="Z122" t="s">
        <v>27</v>
      </c>
      <c r="AA122" s="6" t="s">
        <v>27</v>
      </c>
      <c r="AB122" t="s">
        <v>27</v>
      </c>
      <c r="AD122" t="s">
        <v>214</v>
      </c>
      <c r="AE122" s="1">
        <v>3</v>
      </c>
      <c r="AF122" s="13">
        <v>45107</v>
      </c>
      <c r="AG122">
        <v>0</v>
      </c>
      <c r="AH122">
        <v>0</v>
      </c>
      <c r="AI122">
        <v>0</v>
      </c>
      <c r="AJ122" t="s">
        <v>27</v>
      </c>
      <c r="AK122" s="6" t="s">
        <v>27</v>
      </c>
      <c r="AL122" t="s">
        <v>27</v>
      </c>
      <c r="AN122" t="s">
        <v>214</v>
      </c>
      <c r="AO122" s="1">
        <v>4</v>
      </c>
      <c r="AP122" s="13">
        <v>45114</v>
      </c>
      <c r="AQ122">
        <v>0</v>
      </c>
      <c r="AR122">
        <v>0</v>
      </c>
      <c r="AS122">
        <v>0</v>
      </c>
      <c r="AT122" t="s">
        <v>27</v>
      </c>
      <c r="AU122" s="6" t="s">
        <v>27</v>
      </c>
      <c r="AV122" t="s">
        <v>27</v>
      </c>
      <c r="AX122" t="s">
        <v>214</v>
      </c>
      <c r="AY122" s="1">
        <v>5</v>
      </c>
      <c r="AZ122" s="13">
        <v>45121</v>
      </c>
      <c r="BA122">
        <v>0</v>
      </c>
      <c r="BB122">
        <v>0</v>
      </c>
      <c r="BC122">
        <v>0</v>
      </c>
      <c r="BD122" t="s">
        <v>27</v>
      </c>
      <c r="BE122" s="6" t="s">
        <v>27</v>
      </c>
      <c r="BF122" t="s">
        <v>27</v>
      </c>
      <c r="BH122" t="s">
        <v>214</v>
      </c>
      <c r="BI122" s="1">
        <v>6</v>
      </c>
      <c r="BJ122" s="13">
        <v>45128</v>
      </c>
      <c r="BK122">
        <v>2</v>
      </c>
      <c r="BL122">
        <v>1</v>
      </c>
      <c r="BM122">
        <v>3</v>
      </c>
      <c r="BN122" t="s">
        <v>33</v>
      </c>
      <c r="BO122" s="6" t="s">
        <v>33</v>
      </c>
      <c r="BP122" t="s">
        <v>27</v>
      </c>
      <c r="BR122" t="s">
        <v>214</v>
      </c>
      <c r="BS122" s="1">
        <v>7</v>
      </c>
      <c r="BT122" s="13">
        <v>45135</v>
      </c>
      <c r="BU122">
        <v>1</v>
      </c>
      <c r="BV122">
        <v>2</v>
      </c>
      <c r="BW122">
        <v>3</v>
      </c>
      <c r="BX122" s="51" t="s">
        <v>33</v>
      </c>
      <c r="BY122" s="51" t="s">
        <v>33</v>
      </c>
      <c r="BZ122" s="51" t="s">
        <v>27</v>
      </c>
      <c r="CC122" s="36" t="s">
        <v>214</v>
      </c>
      <c r="CD122" s="30">
        <f t="shared" si="2"/>
        <v>6</v>
      </c>
    </row>
    <row r="123" spans="1:82" ht="14.4" x14ac:dyDescent="0.3">
      <c r="A123" t="s">
        <v>215</v>
      </c>
      <c r="B123" t="s">
        <v>208</v>
      </c>
      <c r="C123">
        <v>32.57741</v>
      </c>
      <c r="D123">
        <v>-83.460279999999997</v>
      </c>
      <c r="E123" s="13">
        <v>45081</v>
      </c>
      <c r="F123" s="13">
        <v>45087</v>
      </c>
      <c r="H123" s="1" t="s">
        <v>25</v>
      </c>
      <c r="I123" s="12" t="s">
        <v>26</v>
      </c>
      <c r="J123" t="s">
        <v>215</v>
      </c>
      <c r="K123" s="6">
        <v>1</v>
      </c>
      <c r="L123" s="13">
        <v>45094</v>
      </c>
      <c r="M123">
        <v>0</v>
      </c>
      <c r="N123">
        <v>0</v>
      </c>
      <c r="O123">
        <v>0</v>
      </c>
      <c r="P123" t="s">
        <v>27</v>
      </c>
      <c r="Q123" s="6" t="s">
        <v>27</v>
      </c>
      <c r="R123" s="6" t="s">
        <v>27</v>
      </c>
      <c r="S123" s="2"/>
      <c r="T123" t="s">
        <v>215</v>
      </c>
      <c r="U123" s="6">
        <v>2</v>
      </c>
      <c r="V123" s="13">
        <v>45101</v>
      </c>
      <c r="W123">
        <v>0</v>
      </c>
      <c r="X123">
        <v>0</v>
      </c>
      <c r="Y123">
        <v>0</v>
      </c>
      <c r="Z123" t="s">
        <v>27</v>
      </c>
      <c r="AA123" s="6" t="s">
        <v>27</v>
      </c>
      <c r="AB123" t="s">
        <v>27</v>
      </c>
      <c r="AD123" t="s">
        <v>215</v>
      </c>
      <c r="AE123" s="1">
        <v>3</v>
      </c>
      <c r="AF123" s="13">
        <v>45108</v>
      </c>
      <c r="AG123">
        <v>0</v>
      </c>
      <c r="AH123">
        <v>0</v>
      </c>
      <c r="AI123">
        <v>0</v>
      </c>
      <c r="AJ123" t="s">
        <v>27</v>
      </c>
      <c r="AK123" s="6" t="s">
        <v>27</v>
      </c>
      <c r="AL123" t="s">
        <v>27</v>
      </c>
      <c r="AN123" t="s">
        <v>215</v>
      </c>
      <c r="AO123" s="1">
        <v>4</v>
      </c>
      <c r="AP123" s="13">
        <v>45115</v>
      </c>
      <c r="AQ123">
        <v>0</v>
      </c>
      <c r="AR123">
        <v>0</v>
      </c>
      <c r="AS123">
        <v>0</v>
      </c>
      <c r="AT123" t="s">
        <v>27</v>
      </c>
      <c r="AU123" s="6" t="s">
        <v>27</v>
      </c>
      <c r="AV123" t="s">
        <v>27</v>
      </c>
      <c r="AX123" t="s">
        <v>215</v>
      </c>
      <c r="AY123" s="1">
        <v>5</v>
      </c>
      <c r="AZ123" s="13">
        <v>45122</v>
      </c>
      <c r="BA123">
        <v>0</v>
      </c>
      <c r="BB123">
        <v>0</v>
      </c>
      <c r="BC123">
        <v>0</v>
      </c>
      <c r="BD123" t="s">
        <v>27</v>
      </c>
      <c r="BE123" s="6" t="s">
        <v>27</v>
      </c>
      <c r="BF123" t="s">
        <v>27</v>
      </c>
      <c r="BH123" t="s">
        <v>215</v>
      </c>
      <c r="BI123" s="1">
        <v>6</v>
      </c>
      <c r="BJ123" s="13">
        <v>45129</v>
      </c>
      <c r="BK123">
        <v>0</v>
      </c>
      <c r="BL123">
        <v>0</v>
      </c>
      <c r="BM123">
        <v>0</v>
      </c>
      <c r="BN123" t="s">
        <v>27</v>
      </c>
      <c r="BO123" s="23" t="s">
        <v>27</v>
      </c>
      <c r="BP123" t="s">
        <v>27</v>
      </c>
      <c r="BR123" t="s">
        <v>215</v>
      </c>
      <c r="BS123" s="1">
        <v>7</v>
      </c>
      <c r="BT123" s="13">
        <v>45136</v>
      </c>
      <c r="BU123">
        <v>0</v>
      </c>
      <c r="BV123">
        <v>0</v>
      </c>
      <c r="BW123">
        <v>0</v>
      </c>
      <c r="BX123" s="51" t="s">
        <v>27</v>
      </c>
      <c r="BY123" s="51" t="s">
        <v>27</v>
      </c>
      <c r="BZ123" s="51" t="s">
        <v>27</v>
      </c>
      <c r="CC123" s="36" t="s">
        <v>215</v>
      </c>
      <c r="CD123" s="30">
        <f t="shared" si="2"/>
        <v>0</v>
      </c>
    </row>
    <row r="124" spans="1:82" ht="14.4" x14ac:dyDescent="0.3">
      <c r="A124" t="s">
        <v>216</v>
      </c>
      <c r="B124" t="s">
        <v>96</v>
      </c>
      <c r="C124">
        <v>32.575859999999999</v>
      </c>
      <c r="D124">
        <v>-83.44059</v>
      </c>
      <c r="E124" s="13">
        <v>45079</v>
      </c>
      <c r="F124" s="13">
        <v>45085</v>
      </c>
      <c r="H124" s="1" t="s">
        <v>25</v>
      </c>
      <c r="I124" s="12" t="s">
        <v>26</v>
      </c>
      <c r="J124" t="s">
        <v>216</v>
      </c>
      <c r="K124" s="6">
        <v>1</v>
      </c>
      <c r="L124" s="13">
        <v>45092</v>
      </c>
      <c r="M124">
        <v>0</v>
      </c>
      <c r="N124">
        <v>0</v>
      </c>
      <c r="O124">
        <v>0</v>
      </c>
      <c r="P124" t="s">
        <v>27</v>
      </c>
      <c r="Q124" s="6" t="s">
        <v>27</v>
      </c>
      <c r="R124" s="6" t="s">
        <v>27</v>
      </c>
      <c r="S124" s="2"/>
      <c r="T124" t="s">
        <v>216</v>
      </c>
      <c r="U124" s="6">
        <v>2</v>
      </c>
      <c r="V124" s="13">
        <v>45099</v>
      </c>
      <c r="W124">
        <v>8</v>
      </c>
      <c r="X124">
        <v>0</v>
      </c>
      <c r="Y124">
        <v>8</v>
      </c>
      <c r="Z124" t="s">
        <v>33</v>
      </c>
      <c r="AA124" s="6" t="s">
        <v>33</v>
      </c>
      <c r="AB124" t="s">
        <v>27</v>
      </c>
      <c r="AD124" t="s">
        <v>216</v>
      </c>
      <c r="AE124" s="1">
        <v>3</v>
      </c>
      <c r="AF124" s="13">
        <v>45106</v>
      </c>
      <c r="AG124">
        <v>0</v>
      </c>
      <c r="AH124">
        <v>0</v>
      </c>
      <c r="AI124">
        <v>0</v>
      </c>
      <c r="AJ124" t="s">
        <v>27</v>
      </c>
      <c r="AK124" s="6" t="s">
        <v>27</v>
      </c>
      <c r="AL124" t="s">
        <v>27</v>
      </c>
      <c r="AN124" t="s">
        <v>216</v>
      </c>
      <c r="AO124" s="1">
        <v>4</v>
      </c>
      <c r="AP124" s="13">
        <v>45113</v>
      </c>
      <c r="AQ124">
        <v>4</v>
      </c>
      <c r="AR124">
        <v>1</v>
      </c>
      <c r="AS124">
        <v>5</v>
      </c>
      <c r="AT124" t="s">
        <v>33</v>
      </c>
      <c r="AU124" s="6" t="s">
        <v>33</v>
      </c>
      <c r="AV124" t="s">
        <v>27</v>
      </c>
      <c r="AX124" t="s">
        <v>216</v>
      </c>
      <c r="AY124" s="1">
        <v>5</v>
      </c>
      <c r="AZ124" s="13">
        <v>45120</v>
      </c>
      <c r="BA124">
        <v>3</v>
      </c>
      <c r="BB124">
        <v>1</v>
      </c>
      <c r="BC124">
        <v>4</v>
      </c>
      <c r="BD124" t="s">
        <v>33</v>
      </c>
      <c r="BE124" s="6" t="s">
        <v>33</v>
      </c>
      <c r="BF124" t="s">
        <v>27</v>
      </c>
      <c r="BH124" t="s">
        <v>216</v>
      </c>
      <c r="BI124" s="1">
        <v>6</v>
      </c>
      <c r="BJ124" s="13">
        <v>45127</v>
      </c>
      <c r="BK124">
        <v>2</v>
      </c>
      <c r="BL124">
        <v>1</v>
      </c>
      <c r="BM124">
        <v>3</v>
      </c>
      <c r="BN124" t="s">
        <v>33</v>
      </c>
      <c r="BO124" s="6" t="s">
        <v>33</v>
      </c>
      <c r="BP124" t="s">
        <v>27</v>
      </c>
      <c r="BR124" t="s">
        <v>216</v>
      </c>
      <c r="BS124" s="1">
        <v>7</v>
      </c>
      <c r="BT124" s="13">
        <v>45134</v>
      </c>
      <c r="BU124">
        <v>0</v>
      </c>
      <c r="BV124">
        <v>0</v>
      </c>
      <c r="BW124">
        <v>0</v>
      </c>
      <c r="BX124" s="51" t="s">
        <v>27</v>
      </c>
      <c r="BY124" s="51" t="s">
        <v>27</v>
      </c>
      <c r="BZ124" s="51" t="s">
        <v>27</v>
      </c>
      <c r="CC124" s="36" t="s">
        <v>216</v>
      </c>
      <c r="CD124" s="30">
        <f t="shared" si="2"/>
        <v>20</v>
      </c>
    </row>
    <row r="125" spans="1:82" ht="14.4" x14ac:dyDescent="0.3">
      <c r="A125" t="s">
        <v>217</v>
      </c>
      <c r="B125" t="s">
        <v>208</v>
      </c>
      <c r="C125">
        <v>32.587589999999999</v>
      </c>
      <c r="D125">
        <v>-83.52073</v>
      </c>
      <c r="E125" s="13">
        <v>45081</v>
      </c>
      <c r="F125" s="13">
        <v>45087</v>
      </c>
      <c r="H125" s="1" t="s">
        <v>25</v>
      </c>
      <c r="I125" s="12" t="s">
        <v>26</v>
      </c>
      <c r="J125" t="s">
        <v>217</v>
      </c>
      <c r="K125" s="6">
        <v>1</v>
      </c>
      <c r="L125" s="13">
        <v>45094</v>
      </c>
      <c r="M125">
        <v>0</v>
      </c>
      <c r="N125">
        <v>0</v>
      </c>
      <c r="O125">
        <v>0</v>
      </c>
      <c r="P125" t="s">
        <v>27</v>
      </c>
      <c r="Q125" s="6" t="s">
        <v>27</v>
      </c>
      <c r="R125" s="6" t="s">
        <v>27</v>
      </c>
      <c r="S125" s="2"/>
      <c r="T125" t="s">
        <v>217</v>
      </c>
      <c r="U125" s="6">
        <v>2</v>
      </c>
      <c r="V125" s="13">
        <v>45101</v>
      </c>
      <c r="W125">
        <v>0</v>
      </c>
      <c r="X125">
        <v>0</v>
      </c>
      <c r="Y125">
        <v>0</v>
      </c>
      <c r="Z125" t="s">
        <v>27</v>
      </c>
      <c r="AA125" s="6" t="s">
        <v>27</v>
      </c>
      <c r="AB125" t="s">
        <v>27</v>
      </c>
      <c r="AD125" t="s">
        <v>217</v>
      </c>
      <c r="AE125" s="1">
        <v>3</v>
      </c>
      <c r="AF125" s="13">
        <v>45108</v>
      </c>
      <c r="AG125">
        <v>0</v>
      </c>
      <c r="AH125">
        <v>0</v>
      </c>
      <c r="AI125">
        <v>0</v>
      </c>
      <c r="AJ125" t="s">
        <v>27</v>
      </c>
      <c r="AK125" s="6" t="s">
        <v>27</v>
      </c>
      <c r="AL125" t="s">
        <v>27</v>
      </c>
      <c r="AN125" t="s">
        <v>217</v>
      </c>
      <c r="AO125" s="1">
        <v>4</v>
      </c>
      <c r="AP125" s="13">
        <v>45115</v>
      </c>
      <c r="AQ125">
        <v>1</v>
      </c>
      <c r="AR125">
        <v>2</v>
      </c>
      <c r="AS125">
        <v>3</v>
      </c>
      <c r="AT125" t="s">
        <v>33</v>
      </c>
      <c r="AU125" s="6" t="s">
        <v>33</v>
      </c>
      <c r="AV125" t="s">
        <v>27</v>
      </c>
      <c r="AX125" t="s">
        <v>217</v>
      </c>
      <c r="AY125" s="1">
        <v>5</v>
      </c>
      <c r="AZ125" s="13">
        <v>45122</v>
      </c>
      <c r="BA125">
        <v>0</v>
      </c>
      <c r="BB125">
        <v>0</v>
      </c>
      <c r="BC125">
        <v>0</v>
      </c>
      <c r="BD125" t="s">
        <v>27</v>
      </c>
      <c r="BE125" s="6" t="s">
        <v>27</v>
      </c>
      <c r="BF125" t="s">
        <v>27</v>
      </c>
      <c r="BH125" t="s">
        <v>217</v>
      </c>
      <c r="BI125" s="1">
        <v>6</v>
      </c>
      <c r="BJ125" s="13">
        <v>45129</v>
      </c>
      <c r="BK125">
        <v>0</v>
      </c>
      <c r="BL125">
        <v>0</v>
      </c>
      <c r="BM125">
        <v>0</v>
      </c>
      <c r="BN125" t="s">
        <v>27</v>
      </c>
      <c r="BO125" s="6" t="s">
        <v>27</v>
      </c>
      <c r="BP125" t="s">
        <v>27</v>
      </c>
      <c r="BR125" t="s">
        <v>217</v>
      </c>
      <c r="BS125" s="1">
        <v>7</v>
      </c>
      <c r="BT125" s="13">
        <v>45136</v>
      </c>
      <c r="BU125">
        <v>0</v>
      </c>
      <c r="BV125">
        <v>0</v>
      </c>
      <c r="BW125">
        <v>0</v>
      </c>
      <c r="BX125" s="51" t="s">
        <v>27</v>
      </c>
      <c r="BY125" s="51" t="s">
        <v>27</v>
      </c>
      <c r="BZ125" s="51" t="s">
        <v>27</v>
      </c>
      <c r="CC125" s="36" t="s">
        <v>217</v>
      </c>
      <c r="CD125" s="30">
        <f t="shared" si="2"/>
        <v>3</v>
      </c>
    </row>
    <row r="126" spans="1:82" ht="14.4" x14ac:dyDescent="0.3">
      <c r="A126" t="s">
        <v>218</v>
      </c>
      <c r="B126" t="s">
        <v>96</v>
      </c>
      <c r="C126" s="21">
        <v>32.592599999999997</v>
      </c>
      <c r="D126" s="21">
        <v>-83.456500000000005</v>
      </c>
      <c r="E126" s="13">
        <v>45079</v>
      </c>
      <c r="F126" s="13">
        <v>45085</v>
      </c>
      <c r="H126" s="1" t="s">
        <v>25</v>
      </c>
      <c r="I126" s="12" t="s">
        <v>26</v>
      </c>
      <c r="J126" t="s">
        <v>218</v>
      </c>
      <c r="K126" s="6">
        <v>1</v>
      </c>
      <c r="L126" s="13">
        <v>45092</v>
      </c>
      <c r="M126">
        <v>0</v>
      </c>
      <c r="N126">
        <v>0</v>
      </c>
      <c r="O126">
        <v>0</v>
      </c>
      <c r="P126" t="s">
        <v>27</v>
      </c>
      <c r="Q126" s="6" t="s">
        <v>27</v>
      </c>
      <c r="R126" s="6" t="s">
        <v>27</v>
      </c>
      <c r="S126" s="2"/>
      <c r="T126" t="s">
        <v>218</v>
      </c>
      <c r="U126" s="6">
        <v>2</v>
      </c>
      <c r="V126" s="13">
        <v>45099</v>
      </c>
      <c r="W126">
        <v>0</v>
      </c>
      <c r="X126">
        <v>0</v>
      </c>
      <c r="Y126">
        <v>0</v>
      </c>
      <c r="Z126" t="s">
        <v>45</v>
      </c>
      <c r="AA126" s="6" t="s">
        <v>33</v>
      </c>
      <c r="AB126" t="s">
        <v>45</v>
      </c>
      <c r="AD126" t="s">
        <v>218</v>
      </c>
      <c r="AE126" s="1">
        <v>3</v>
      </c>
      <c r="AF126" s="13">
        <v>45106</v>
      </c>
      <c r="AG126">
        <v>0</v>
      </c>
      <c r="AH126">
        <v>0</v>
      </c>
      <c r="AI126">
        <v>0</v>
      </c>
      <c r="AJ126" t="s">
        <v>27</v>
      </c>
      <c r="AK126" s="6" t="s">
        <v>27</v>
      </c>
      <c r="AL126" t="s">
        <v>27</v>
      </c>
      <c r="AN126" t="s">
        <v>218</v>
      </c>
      <c r="AO126" s="1">
        <v>4</v>
      </c>
      <c r="AP126" s="13">
        <v>45113</v>
      </c>
      <c r="AQ126">
        <v>0</v>
      </c>
      <c r="AR126">
        <v>0</v>
      </c>
      <c r="AS126">
        <v>0</v>
      </c>
      <c r="AT126" t="s">
        <v>27</v>
      </c>
      <c r="AU126" s="6" t="s">
        <v>27</v>
      </c>
      <c r="AV126" t="s">
        <v>27</v>
      </c>
      <c r="AX126" t="s">
        <v>218</v>
      </c>
      <c r="AY126" s="1">
        <v>5</v>
      </c>
      <c r="AZ126" s="13">
        <v>45120</v>
      </c>
      <c r="BA126">
        <v>0</v>
      </c>
      <c r="BB126">
        <v>0</v>
      </c>
      <c r="BC126">
        <v>0</v>
      </c>
      <c r="BD126" t="s">
        <v>27</v>
      </c>
      <c r="BE126" s="6" t="s">
        <v>27</v>
      </c>
      <c r="BF126" t="s">
        <v>27</v>
      </c>
      <c r="BH126" t="s">
        <v>218</v>
      </c>
      <c r="BI126" s="1">
        <v>6</v>
      </c>
      <c r="BJ126" s="13">
        <v>45127</v>
      </c>
      <c r="BK126">
        <v>0</v>
      </c>
      <c r="BL126">
        <v>0</v>
      </c>
      <c r="BM126">
        <v>0</v>
      </c>
      <c r="BN126" t="s">
        <v>27</v>
      </c>
      <c r="BO126" s="6" t="s">
        <v>27</v>
      </c>
      <c r="BP126" t="s">
        <v>27</v>
      </c>
      <c r="BR126" s="53" t="s">
        <v>218</v>
      </c>
      <c r="BS126" s="54">
        <v>7</v>
      </c>
      <c r="BT126" s="55">
        <v>45134</v>
      </c>
      <c r="BU126" s="53">
        <v>1</v>
      </c>
      <c r="BV126" s="53">
        <v>1</v>
      </c>
      <c r="BW126" s="53">
        <v>2</v>
      </c>
      <c r="BX126" s="53" t="s">
        <v>33</v>
      </c>
      <c r="BY126" s="53" t="s">
        <v>33</v>
      </c>
      <c r="BZ126" s="53" t="s">
        <v>27</v>
      </c>
      <c r="CC126" s="36" t="s">
        <v>218</v>
      </c>
      <c r="CD126" s="30">
        <f t="shared" si="2"/>
        <v>2</v>
      </c>
    </row>
    <row r="127" spans="1:82" ht="14.4" x14ac:dyDescent="0.3">
      <c r="A127" t="s">
        <v>219</v>
      </c>
      <c r="B127" t="s">
        <v>96</v>
      </c>
      <c r="C127">
        <v>32.590760000000003</v>
      </c>
      <c r="D127">
        <v>-83.441249999999997</v>
      </c>
      <c r="E127" s="13">
        <v>45078</v>
      </c>
      <c r="F127" s="13">
        <v>45085</v>
      </c>
      <c r="H127" s="1" t="s">
        <v>25</v>
      </c>
      <c r="I127" s="12" t="s">
        <v>26</v>
      </c>
      <c r="J127" t="s">
        <v>219</v>
      </c>
      <c r="K127" s="6">
        <v>1</v>
      </c>
      <c r="L127" s="13">
        <v>45092</v>
      </c>
      <c r="M127">
        <v>0</v>
      </c>
      <c r="N127">
        <v>0</v>
      </c>
      <c r="O127">
        <v>0</v>
      </c>
      <c r="P127" t="s">
        <v>27</v>
      </c>
      <c r="Q127" s="6" t="s">
        <v>27</v>
      </c>
      <c r="R127" s="6" t="s">
        <v>27</v>
      </c>
      <c r="S127" s="2"/>
      <c r="T127" t="s">
        <v>219</v>
      </c>
      <c r="U127" s="6">
        <v>2</v>
      </c>
      <c r="V127" s="13">
        <v>45099</v>
      </c>
      <c r="W127">
        <v>5</v>
      </c>
      <c r="X127">
        <v>0</v>
      </c>
      <c r="Y127">
        <v>5</v>
      </c>
      <c r="Z127" t="s">
        <v>33</v>
      </c>
      <c r="AA127" s="6" t="s">
        <v>33</v>
      </c>
      <c r="AB127" t="s">
        <v>27</v>
      </c>
      <c r="AD127" t="s">
        <v>219</v>
      </c>
      <c r="AE127" s="1">
        <v>3</v>
      </c>
      <c r="AF127" s="13">
        <v>45106</v>
      </c>
      <c r="AG127">
        <v>0</v>
      </c>
      <c r="AH127">
        <v>0</v>
      </c>
      <c r="AI127">
        <v>0</v>
      </c>
      <c r="AJ127" t="s">
        <v>27</v>
      </c>
      <c r="AK127" s="6" t="s">
        <v>27</v>
      </c>
      <c r="AL127" t="s">
        <v>27</v>
      </c>
      <c r="AN127" t="s">
        <v>219</v>
      </c>
      <c r="AO127" s="1">
        <v>4</v>
      </c>
      <c r="AP127" s="13">
        <v>45113</v>
      </c>
      <c r="AQ127">
        <v>10</v>
      </c>
      <c r="AR127">
        <v>9</v>
      </c>
      <c r="AS127">
        <v>19</v>
      </c>
      <c r="AT127" t="s">
        <v>33</v>
      </c>
      <c r="AU127" s="6" t="s">
        <v>33</v>
      </c>
      <c r="AV127" t="s">
        <v>27</v>
      </c>
      <c r="AX127" t="s">
        <v>219</v>
      </c>
      <c r="AY127" s="1">
        <v>5</v>
      </c>
      <c r="AZ127" s="13">
        <v>45120</v>
      </c>
      <c r="BA127">
        <v>0</v>
      </c>
      <c r="BB127">
        <v>0</v>
      </c>
      <c r="BC127">
        <v>0</v>
      </c>
      <c r="BD127" t="s">
        <v>27</v>
      </c>
      <c r="BE127" s="6" t="s">
        <v>27</v>
      </c>
      <c r="BF127" t="s">
        <v>27</v>
      </c>
      <c r="BH127" t="s">
        <v>219</v>
      </c>
      <c r="BI127" s="1">
        <v>6</v>
      </c>
      <c r="BJ127" s="13">
        <v>45127</v>
      </c>
      <c r="BK127">
        <v>0</v>
      </c>
      <c r="BL127">
        <v>0</v>
      </c>
      <c r="BM127">
        <v>0</v>
      </c>
      <c r="BN127" t="s">
        <v>27</v>
      </c>
      <c r="BO127" s="6" t="s">
        <v>27</v>
      </c>
      <c r="BP127" t="s">
        <v>27</v>
      </c>
      <c r="BR127" t="s">
        <v>219</v>
      </c>
      <c r="BS127" s="1">
        <v>7</v>
      </c>
      <c r="BT127" s="13">
        <v>45134</v>
      </c>
      <c r="BU127">
        <v>0</v>
      </c>
      <c r="BV127">
        <v>0</v>
      </c>
      <c r="BW127">
        <v>0</v>
      </c>
      <c r="BX127" s="51" t="s">
        <v>27</v>
      </c>
      <c r="BY127" s="51" t="s">
        <v>27</v>
      </c>
      <c r="BZ127" s="51" t="s">
        <v>27</v>
      </c>
      <c r="CC127" s="36" t="s">
        <v>219</v>
      </c>
      <c r="CD127" s="30">
        <f t="shared" si="2"/>
        <v>24</v>
      </c>
    </row>
    <row r="128" spans="1:82" ht="14.4" x14ac:dyDescent="0.3">
      <c r="A128" t="s">
        <v>220</v>
      </c>
      <c r="B128" t="s">
        <v>208</v>
      </c>
      <c r="C128">
        <v>32.601750000000003</v>
      </c>
      <c r="D128">
        <v>-83.507350000000002</v>
      </c>
      <c r="E128" s="13">
        <v>45073</v>
      </c>
      <c r="F128" s="13">
        <v>45087</v>
      </c>
      <c r="H128" s="1" t="s">
        <v>25</v>
      </c>
      <c r="I128" s="12" t="s">
        <v>26</v>
      </c>
      <c r="J128" t="s">
        <v>220</v>
      </c>
      <c r="K128" s="6">
        <v>1</v>
      </c>
      <c r="L128" s="13">
        <v>45094</v>
      </c>
      <c r="M128">
        <v>0</v>
      </c>
      <c r="N128">
        <v>0</v>
      </c>
      <c r="O128">
        <v>0</v>
      </c>
      <c r="P128" t="s">
        <v>27</v>
      </c>
      <c r="Q128" s="6" t="s">
        <v>27</v>
      </c>
      <c r="R128" s="6" t="s">
        <v>27</v>
      </c>
      <c r="S128" s="2"/>
      <c r="T128" t="s">
        <v>220</v>
      </c>
      <c r="U128" s="6">
        <v>2</v>
      </c>
      <c r="V128" s="13">
        <v>45101</v>
      </c>
      <c r="W128">
        <v>0</v>
      </c>
      <c r="X128">
        <v>0</v>
      </c>
      <c r="Y128">
        <v>0</v>
      </c>
      <c r="Z128" t="s">
        <v>27</v>
      </c>
      <c r="AA128" s="6" t="s">
        <v>27</v>
      </c>
      <c r="AB128" t="s">
        <v>27</v>
      </c>
      <c r="AD128" t="s">
        <v>220</v>
      </c>
      <c r="AE128" s="1">
        <v>3</v>
      </c>
      <c r="AF128" s="13">
        <v>45108</v>
      </c>
      <c r="AG128">
        <v>3</v>
      </c>
      <c r="AH128">
        <v>4</v>
      </c>
      <c r="AI128">
        <v>7</v>
      </c>
      <c r="AJ128" t="s">
        <v>33</v>
      </c>
      <c r="AK128" s="6" t="s">
        <v>33</v>
      </c>
      <c r="AL128" t="s">
        <v>27</v>
      </c>
      <c r="AN128" t="s">
        <v>220</v>
      </c>
      <c r="AO128" s="1">
        <v>4</v>
      </c>
      <c r="AP128" s="13">
        <v>45115</v>
      </c>
      <c r="AQ128">
        <v>4</v>
      </c>
      <c r="AR128">
        <v>4</v>
      </c>
      <c r="AS128">
        <v>8</v>
      </c>
      <c r="AT128" t="s">
        <v>33</v>
      </c>
      <c r="AU128" s="6" t="s">
        <v>33</v>
      </c>
      <c r="AV128" t="s">
        <v>112</v>
      </c>
      <c r="AW128" s="2" t="s">
        <v>221</v>
      </c>
      <c r="AX128" t="s">
        <v>220</v>
      </c>
      <c r="AY128" s="1">
        <v>5</v>
      </c>
      <c r="AZ128" s="13">
        <v>45122</v>
      </c>
      <c r="BA128">
        <v>0</v>
      </c>
      <c r="BB128">
        <v>1</v>
      </c>
      <c r="BC128">
        <v>1</v>
      </c>
      <c r="BD128" t="s">
        <v>33</v>
      </c>
      <c r="BE128" s="6" t="s">
        <v>33</v>
      </c>
      <c r="BF128" t="s">
        <v>27</v>
      </c>
      <c r="BH128" t="s">
        <v>220</v>
      </c>
      <c r="BI128" s="1">
        <v>6</v>
      </c>
      <c r="BJ128" s="13">
        <v>45129</v>
      </c>
      <c r="BK128">
        <v>0</v>
      </c>
      <c r="BL128">
        <v>0</v>
      </c>
      <c r="BM128">
        <v>0</v>
      </c>
      <c r="BN128" t="s">
        <v>27</v>
      </c>
      <c r="BO128" s="6" t="s">
        <v>27</v>
      </c>
      <c r="BP128" t="s">
        <v>27</v>
      </c>
      <c r="BR128" t="s">
        <v>220</v>
      </c>
      <c r="BS128" s="1">
        <v>7</v>
      </c>
      <c r="BT128" s="13">
        <v>45136</v>
      </c>
      <c r="BU128">
        <v>0</v>
      </c>
      <c r="BV128">
        <v>0</v>
      </c>
      <c r="BW128">
        <v>0</v>
      </c>
      <c r="BX128" s="51" t="s">
        <v>27</v>
      </c>
      <c r="BY128" s="51" t="s">
        <v>27</v>
      </c>
      <c r="BZ128" s="51" t="s">
        <v>27</v>
      </c>
      <c r="CC128" s="36" t="s">
        <v>220</v>
      </c>
      <c r="CD128" s="30">
        <f t="shared" si="2"/>
        <v>16</v>
      </c>
    </row>
    <row r="129" spans="1:82" ht="14.4" x14ac:dyDescent="0.3">
      <c r="A129" t="s">
        <v>222</v>
      </c>
      <c r="B129" t="s">
        <v>96</v>
      </c>
      <c r="C129">
        <v>32.608530000000002</v>
      </c>
      <c r="D129">
        <v>-83.441220000000001</v>
      </c>
      <c r="E129" s="13">
        <v>45078</v>
      </c>
      <c r="F129" s="13">
        <v>45085</v>
      </c>
      <c r="H129" s="1" t="s">
        <v>25</v>
      </c>
      <c r="I129" s="12" t="s">
        <v>26</v>
      </c>
      <c r="J129" t="s">
        <v>222</v>
      </c>
      <c r="K129" s="6">
        <v>1</v>
      </c>
      <c r="L129" s="13">
        <v>45092</v>
      </c>
      <c r="M129">
        <v>0</v>
      </c>
      <c r="N129">
        <v>0</v>
      </c>
      <c r="O129">
        <v>0</v>
      </c>
      <c r="P129" t="s">
        <v>27</v>
      </c>
      <c r="Q129" s="6" t="s">
        <v>27</v>
      </c>
      <c r="R129" s="6" t="s">
        <v>27</v>
      </c>
      <c r="S129" s="2"/>
      <c r="T129" t="s">
        <v>222</v>
      </c>
      <c r="U129" s="6">
        <v>2</v>
      </c>
      <c r="V129" s="13">
        <v>45099</v>
      </c>
      <c r="W129">
        <v>0</v>
      </c>
      <c r="X129">
        <v>0</v>
      </c>
      <c r="Y129">
        <v>0</v>
      </c>
      <c r="Z129" t="s">
        <v>27</v>
      </c>
      <c r="AA129" s="6" t="s">
        <v>27</v>
      </c>
      <c r="AB129" t="s">
        <v>27</v>
      </c>
      <c r="AD129" t="s">
        <v>222</v>
      </c>
      <c r="AE129" s="1">
        <v>3</v>
      </c>
      <c r="AF129" s="13">
        <v>45106</v>
      </c>
      <c r="AG129">
        <v>0</v>
      </c>
      <c r="AH129">
        <v>0</v>
      </c>
      <c r="AI129">
        <v>0</v>
      </c>
      <c r="AJ129" t="s">
        <v>27</v>
      </c>
      <c r="AK129" s="6" t="s">
        <v>27</v>
      </c>
      <c r="AL129" t="s">
        <v>27</v>
      </c>
      <c r="AN129" t="s">
        <v>222</v>
      </c>
      <c r="AO129" s="1">
        <v>4</v>
      </c>
      <c r="AP129" s="13">
        <v>45113</v>
      </c>
      <c r="AQ129">
        <v>0</v>
      </c>
      <c r="AR129">
        <v>0</v>
      </c>
      <c r="AS129">
        <v>0</v>
      </c>
      <c r="AT129" t="s">
        <v>27</v>
      </c>
      <c r="AU129" s="6" t="s">
        <v>27</v>
      </c>
      <c r="AV129" t="s">
        <v>27</v>
      </c>
      <c r="AX129" t="s">
        <v>222</v>
      </c>
      <c r="AY129" s="1">
        <v>5</v>
      </c>
      <c r="AZ129" s="13">
        <v>45120</v>
      </c>
      <c r="BA129">
        <v>0</v>
      </c>
      <c r="BB129">
        <v>0</v>
      </c>
      <c r="BC129">
        <v>0</v>
      </c>
      <c r="BD129" t="s">
        <v>27</v>
      </c>
      <c r="BE129" s="6" t="s">
        <v>27</v>
      </c>
      <c r="BF129" t="s">
        <v>27</v>
      </c>
      <c r="BH129" t="s">
        <v>222</v>
      </c>
      <c r="BI129" s="1">
        <v>6</v>
      </c>
      <c r="BJ129" s="13">
        <v>45127</v>
      </c>
      <c r="BK129">
        <v>0</v>
      </c>
      <c r="BL129">
        <v>0</v>
      </c>
      <c r="BM129">
        <v>0</v>
      </c>
      <c r="BN129" t="s">
        <v>27</v>
      </c>
      <c r="BO129" s="6" t="s">
        <v>27</v>
      </c>
      <c r="BP129" t="s">
        <v>27</v>
      </c>
      <c r="BR129" t="s">
        <v>222</v>
      </c>
      <c r="BS129" s="1">
        <v>7</v>
      </c>
      <c r="BT129" s="13">
        <v>45134</v>
      </c>
      <c r="BU129">
        <v>0</v>
      </c>
      <c r="BV129">
        <v>2</v>
      </c>
      <c r="BW129">
        <v>2</v>
      </c>
      <c r="BX129" s="51" t="s">
        <v>33</v>
      </c>
      <c r="BY129" s="51" t="s">
        <v>33</v>
      </c>
      <c r="BZ129" s="51" t="s">
        <v>27</v>
      </c>
      <c r="CC129" s="36" t="s">
        <v>222</v>
      </c>
      <c r="CD129" s="30">
        <f t="shared" si="2"/>
        <v>2</v>
      </c>
    </row>
    <row r="130" spans="1:82" ht="14.4" x14ac:dyDescent="0.3">
      <c r="A130" t="s">
        <v>223</v>
      </c>
      <c r="B130" t="s">
        <v>208</v>
      </c>
      <c r="C130">
        <v>32.609969999999997</v>
      </c>
      <c r="D130">
        <v>-83.530779999999993</v>
      </c>
      <c r="E130" s="13">
        <v>45073</v>
      </c>
      <c r="F130" s="13">
        <v>45087</v>
      </c>
      <c r="H130" s="1" t="s">
        <v>25</v>
      </c>
      <c r="I130" s="12" t="s">
        <v>26</v>
      </c>
      <c r="J130" t="s">
        <v>223</v>
      </c>
      <c r="K130" s="6">
        <v>1</v>
      </c>
      <c r="L130" s="13">
        <v>45094</v>
      </c>
      <c r="M130">
        <v>0</v>
      </c>
      <c r="N130">
        <v>0</v>
      </c>
      <c r="O130">
        <v>0</v>
      </c>
      <c r="P130" t="s">
        <v>27</v>
      </c>
      <c r="Q130" s="6" t="s">
        <v>27</v>
      </c>
      <c r="R130" s="6" t="s">
        <v>27</v>
      </c>
      <c r="S130" s="2"/>
      <c r="T130" t="s">
        <v>223</v>
      </c>
      <c r="U130" s="6">
        <v>2</v>
      </c>
      <c r="V130" s="13">
        <v>45101</v>
      </c>
      <c r="W130">
        <v>0</v>
      </c>
      <c r="X130">
        <v>0</v>
      </c>
      <c r="Y130">
        <v>0</v>
      </c>
      <c r="Z130" t="s">
        <v>27</v>
      </c>
      <c r="AA130" s="6" t="s">
        <v>27</v>
      </c>
      <c r="AB130" t="s">
        <v>27</v>
      </c>
      <c r="AD130" t="s">
        <v>223</v>
      </c>
      <c r="AE130" s="1">
        <v>3</v>
      </c>
      <c r="AF130" s="13">
        <v>45108</v>
      </c>
      <c r="AG130">
        <v>0</v>
      </c>
      <c r="AH130">
        <v>0</v>
      </c>
      <c r="AI130">
        <v>0</v>
      </c>
      <c r="AJ130" t="s">
        <v>27</v>
      </c>
      <c r="AK130" s="6" t="s">
        <v>27</v>
      </c>
      <c r="AL130" t="s">
        <v>27</v>
      </c>
      <c r="AN130" t="s">
        <v>223</v>
      </c>
      <c r="AO130" s="1">
        <v>4</v>
      </c>
      <c r="AP130" s="13">
        <v>45115</v>
      </c>
      <c r="AQ130">
        <v>0</v>
      </c>
      <c r="AR130">
        <v>0</v>
      </c>
      <c r="AS130">
        <v>0</v>
      </c>
      <c r="AT130" t="s">
        <v>27</v>
      </c>
      <c r="AU130" s="6" t="s">
        <v>27</v>
      </c>
      <c r="AV130" t="s">
        <v>27</v>
      </c>
      <c r="AX130" t="s">
        <v>223</v>
      </c>
      <c r="AY130" s="1">
        <v>5</v>
      </c>
      <c r="AZ130" s="13">
        <v>45122</v>
      </c>
      <c r="BA130">
        <v>0</v>
      </c>
      <c r="BB130">
        <v>0</v>
      </c>
      <c r="BC130">
        <v>0</v>
      </c>
      <c r="BD130" t="s">
        <v>45</v>
      </c>
      <c r="BE130" s="6" t="s">
        <v>33</v>
      </c>
      <c r="BF130" t="s">
        <v>45</v>
      </c>
      <c r="BH130" t="s">
        <v>223</v>
      </c>
      <c r="BI130" s="1">
        <v>6</v>
      </c>
      <c r="BJ130" s="13">
        <v>45129</v>
      </c>
      <c r="BK130">
        <v>0</v>
      </c>
      <c r="BL130">
        <v>0</v>
      </c>
      <c r="BM130">
        <v>0</v>
      </c>
      <c r="BN130" t="s">
        <v>27</v>
      </c>
      <c r="BO130" s="6" t="s">
        <v>27</v>
      </c>
      <c r="BP130" t="s">
        <v>27</v>
      </c>
      <c r="BR130" t="s">
        <v>223</v>
      </c>
      <c r="BS130" s="1">
        <v>7</v>
      </c>
      <c r="BT130" s="13">
        <v>45136</v>
      </c>
      <c r="BU130">
        <v>0</v>
      </c>
      <c r="BV130">
        <v>0</v>
      </c>
      <c r="BW130">
        <v>0</v>
      </c>
      <c r="BX130" s="51" t="s">
        <v>27</v>
      </c>
      <c r="BY130" s="51" t="s">
        <v>27</v>
      </c>
      <c r="BZ130" s="51" t="s">
        <v>27</v>
      </c>
      <c r="CC130" s="36" t="s">
        <v>223</v>
      </c>
      <c r="CD130" s="30">
        <f t="shared" si="2"/>
        <v>0</v>
      </c>
    </row>
    <row r="131" spans="1:82" ht="14.4" x14ac:dyDescent="0.3">
      <c r="A131" t="s">
        <v>224</v>
      </c>
      <c r="B131" t="s">
        <v>208</v>
      </c>
      <c r="C131">
        <v>32.615670000000001</v>
      </c>
      <c r="D131">
        <v>-83.509190000000004</v>
      </c>
      <c r="E131" s="13">
        <v>45073</v>
      </c>
      <c r="F131" s="13">
        <v>45087</v>
      </c>
      <c r="H131" s="1" t="s">
        <v>25</v>
      </c>
      <c r="I131" s="12" t="s">
        <v>26</v>
      </c>
      <c r="J131" t="s">
        <v>224</v>
      </c>
      <c r="K131" s="6">
        <v>1</v>
      </c>
      <c r="L131" s="13">
        <v>45094</v>
      </c>
      <c r="M131">
        <v>0</v>
      </c>
      <c r="N131">
        <v>0</v>
      </c>
      <c r="O131">
        <v>0</v>
      </c>
      <c r="P131" t="s">
        <v>27</v>
      </c>
      <c r="Q131" s="6" t="s">
        <v>27</v>
      </c>
      <c r="R131" s="6" t="s">
        <v>27</v>
      </c>
      <c r="S131" s="2"/>
      <c r="T131" t="s">
        <v>224</v>
      </c>
      <c r="U131" s="6">
        <v>2</v>
      </c>
      <c r="V131" s="13">
        <v>45101</v>
      </c>
      <c r="W131">
        <v>3</v>
      </c>
      <c r="X131">
        <v>7</v>
      </c>
      <c r="Y131">
        <v>10</v>
      </c>
      <c r="Z131" t="s">
        <v>33</v>
      </c>
      <c r="AA131" s="6" t="s">
        <v>33</v>
      </c>
      <c r="AB131" t="s">
        <v>27</v>
      </c>
      <c r="AD131" t="s">
        <v>224</v>
      </c>
      <c r="AE131" s="1">
        <v>3</v>
      </c>
      <c r="AF131" s="13">
        <v>45108</v>
      </c>
      <c r="AG131">
        <v>0</v>
      </c>
      <c r="AH131">
        <v>0</v>
      </c>
      <c r="AI131">
        <v>0</v>
      </c>
      <c r="AJ131" t="s">
        <v>27</v>
      </c>
      <c r="AK131" s="6" t="s">
        <v>27</v>
      </c>
      <c r="AL131" t="s">
        <v>27</v>
      </c>
      <c r="AN131" t="s">
        <v>224</v>
      </c>
      <c r="AO131" s="1">
        <v>4</v>
      </c>
      <c r="AP131" s="13">
        <v>45115</v>
      </c>
      <c r="AQ131">
        <v>0</v>
      </c>
      <c r="AR131">
        <v>0</v>
      </c>
      <c r="AS131">
        <v>0</v>
      </c>
      <c r="AT131" t="s">
        <v>27</v>
      </c>
      <c r="AU131" s="6" t="s">
        <v>27</v>
      </c>
      <c r="AV131" t="s">
        <v>27</v>
      </c>
      <c r="AX131" t="s">
        <v>224</v>
      </c>
      <c r="AY131" s="1">
        <v>5</v>
      </c>
      <c r="AZ131" s="13">
        <v>45120</v>
      </c>
      <c r="BA131">
        <v>0</v>
      </c>
      <c r="BB131">
        <v>0</v>
      </c>
      <c r="BC131">
        <v>0</v>
      </c>
      <c r="BD131" t="s">
        <v>27</v>
      </c>
      <c r="BE131" s="6" t="s">
        <v>27</v>
      </c>
      <c r="BF131" t="s">
        <v>27</v>
      </c>
      <c r="BH131" t="s">
        <v>224</v>
      </c>
      <c r="BI131" s="1">
        <v>6</v>
      </c>
      <c r="BJ131" s="13">
        <v>45129</v>
      </c>
      <c r="BK131">
        <v>0</v>
      </c>
      <c r="BL131">
        <v>0</v>
      </c>
      <c r="BM131">
        <v>0</v>
      </c>
      <c r="BN131" t="s">
        <v>27</v>
      </c>
      <c r="BO131" s="6" t="s">
        <v>27</v>
      </c>
      <c r="BP131" t="s">
        <v>27</v>
      </c>
      <c r="BR131" t="s">
        <v>224</v>
      </c>
      <c r="BS131" s="1">
        <v>7</v>
      </c>
      <c r="BT131" s="13">
        <v>45136</v>
      </c>
      <c r="BU131">
        <v>2</v>
      </c>
      <c r="BV131">
        <v>0</v>
      </c>
      <c r="BW131">
        <v>2</v>
      </c>
      <c r="BX131" s="51" t="s">
        <v>33</v>
      </c>
      <c r="BY131" s="51" t="s">
        <v>33</v>
      </c>
      <c r="BZ131" s="51" t="s">
        <v>27</v>
      </c>
      <c r="CC131" s="36" t="s">
        <v>224</v>
      </c>
      <c r="CD131" s="30">
        <f>SUM(O131+Y131+AI131+AS131+BC131+BM131+BW131)</f>
        <v>12</v>
      </c>
    </row>
    <row r="132" spans="1:82" ht="14.4" x14ac:dyDescent="0.3">
      <c r="A132" t="s">
        <v>225</v>
      </c>
      <c r="B132" t="s">
        <v>96</v>
      </c>
      <c r="C132">
        <v>32.610349999999997</v>
      </c>
      <c r="D132">
        <v>-83.454589999999996</v>
      </c>
      <c r="E132" s="13">
        <v>45078</v>
      </c>
      <c r="F132" s="13">
        <v>45085</v>
      </c>
      <c r="H132" s="1" t="s">
        <v>226</v>
      </c>
      <c r="I132" s="20" t="s">
        <v>26</v>
      </c>
      <c r="J132" t="s">
        <v>225</v>
      </c>
      <c r="K132" s="6">
        <v>1</v>
      </c>
      <c r="L132" s="13">
        <v>45092</v>
      </c>
      <c r="M132">
        <v>0</v>
      </c>
      <c r="N132">
        <v>0</v>
      </c>
      <c r="O132">
        <v>0</v>
      </c>
      <c r="P132" t="s">
        <v>27</v>
      </c>
      <c r="Q132" s="6" t="s">
        <v>27</v>
      </c>
      <c r="R132" s="6" t="s">
        <v>27</v>
      </c>
      <c r="S132" s="19"/>
      <c r="T132" t="s">
        <v>225</v>
      </c>
      <c r="U132" s="6">
        <v>2</v>
      </c>
      <c r="V132" s="13">
        <v>45099</v>
      </c>
      <c r="W132">
        <v>0</v>
      </c>
      <c r="X132">
        <v>0</v>
      </c>
      <c r="Y132">
        <v>0</v>
      </c>
      <c r="Z132" t="s">
        <v>27</v>
      </c>
      <c r="AA132" s="6" t="s">
        <v>27</v>
      </c>
      <c r="AB132" t="s">
        <v>27</v>
      </c>
      <c r="AC132" s="19"/>
      <c r="AD132" t="s">
        <v>225</v>
      </c>
      <c r="AE132" s="1">
        <v>3</v>
      </c>
      <c r="AF132" s="13">
        <v>45106</v>
      </c>
      <c r="AG132">
        <v>0</v>
      </c>
      <c r="AH132">
        <v>0</v>
      </c>
      <c r="AI132">
        <v>0</v>
      </c>
      <c r="AJ132" t="s">
        <v>27</v>
      </c>
      <c r="AK132" s="6" t="s">
        <v>27</v>
      </c>
      <c r="AL132" t="s">
        <v>27</v>
      </c>
      <c r="AM132" s="19"/>
      <c r="AN132" t="s">
        <v>225</v>
      </c>
      <c r="AO132" s="1">
        <v>4</v>
      </c>
      <c r="AP132" s="13">
        <v>45113</v>
      </c>
      <c r="AQ132">
        <v>0</v>
      </c>
      <c r="AR132">
        <v>0</v>
      </c>
      <c r="AS132">
        <v>0</v>
      </c>
      <c r="AT132" t="s">
        <v>27</v>
      </c>
      <c r="AU132" s="6" t="s">
        <v>27</v>
      </c>
      <c r="AV132" t="s">
        <v>27</v>
      </c>
      <c r="AW132" s="19"/>
      <c r="AX132" t="s">
        <v>225</v>
      </c>
      <c r="AY132" s="1">
        <v>5</v>
      </c>
      <c r="AZ132" s="13">
        <v>45120</v>
      </c>
      <c r="BA132">
        <v>3</v>
      </c>
      <c r="BB132">
        <v>0</v>
      </c>
      <c r="BC132">
        <v>3</v>
      </c>
      <c r="BD132" t="s">
        <v>33</v>
      </c>
      <c r="BE132" s="6" t="s">
        <v>33</v>
      </c>
      <c r="BF132" t="s">
        <v>27</v>
      </c>
      <c r="BG132" s="19"/>
      <c r="BH132" t="s">
        <v>225</v>
      </c>
      <c r="BI132" s="1">
        <v>6</v>
      </c>
      <c r="BJ132" s="13">
        <v>45127</v>
      </c>
      <c r="BK132">
        <v>0</v>
      </c>
      <c r="BL132">
        <v>0</v>
      </c>
      <c r="BM132">
        <v>0</v>
      </c>
      <c r="BN132" t="s">
        <v>27</v>
      </c>
      <c r="BO132" s="6" t="s">
        <v>27</v>
      </c>
      <c r="BP132" t="s">
        <v>27</v>
      </c>
      <c r="BQ132" s="19"/>
      <c r="BR132" t="s">
        <v>225</v>
      </c>
      <c r="BS132" s="1">
        <v>7</v>
      </c>
      <c r="BT132" s="13">
        <v>45134</v>
      </c>
      <c r="BU132">
        <v>0</v>
      </c>
      <c r="BV132">
        <v>0</v>
      </c>
      <c r="BW132">
        <v>0</v>
      </c>
      <c r="BX132" s="51" t="s">
        <v>27</v>
      </c>
      <c r="BY132" s="51" t="s">
        <v>27</v>
      </c>
      <c r="BZ132" s="51" t="s">
        <v>27</v>
      </c>
      <c r="CA132" s="19"/>
      <c r="CC132" s="36" t="s">
        <v>225</v>
      </c>
      <c r="CD132" s="30">
        <f>SUM(O132+Y132+AI132+AS132+BC132+BM132+BW132)</f>
        <v>3</v>
      </c>
    </row>
    <row r="133" spans="1:82" ht="14.4" x14ac:dyDescent="0.3">
      <c r="A133" t="s">
        <v>227</v>
      </c>
      <c r="B133" t="s">
        <v>96</v>
      </c>
      <c r="C133">
        <v>32.621119999999998</v>
      </c>
      <c r="D133">
        <v>-83.448859999999996</v>
      </c>
      <c r="E133" s="116"/>
      <c r="F133" s="13">
        <v>45085</v>
      </c>
      <c r="G133"/>
      <c r="H133" s="1" t="s">
        <v>226</v>
      </c>
      <c r="I133" s="20" t="s">
        <v>26</v>
      </c>
      <c r="J133" t="s">
        <v>227</v>
      </c>
      <c r="K133" s="1">
        <v>1</v>
      </c>
      <c r="L133" s="13">
        <v>45092</v>
      </c>
      <c r="M133">
        <v>0</v>
      </c>
      <c r="N133">
        <v>0</v>
      </c>
      <c r="O133">
        <v>0</v>
      </c>
      <c r="P133" t="s">
        <v>27</v>
      </c>
      <c r="Q133" s="1" t="s">
        <v>27</v>
      </c>
      <c r="R133" s="1" t="s">
        <v>27</v>
      </c>
      <c r="S133" s="19"/>
      <c r="T133" t="s">
        <v>227</v>
      </c>
      <c r="U133" s="1">
        <v>2</v>
      </c>
      <c r="V133" s="13">
        <v>45099</v>
      </c>
      <c r="W133">
        <v>0</v>
      </c>
      <c r="X133">
        <v>0</v>
      </c>
      <c r="Y133">
        <v>0</v>
      </c>
      <c r="Z133" t="s">
        <v>27</v>
      </c>
      <c r="AA133" s="1" t="s">
        <v>27</v>
      </c>
      <c r="AB133" t="s">
        <v>27</v>
      </c>
      <c r="AC133" s="19"/>
      <c r="AD133" t="s">
        <v>227</v>
      </c>
      <c r="AE133" s="1">
        <v>3</v>
      </c>
      <c r="AF133" s="13">
        <v>45106</v>
      </c>
      <c r="AG133">
        <v>3</v>
      </c>
      <c r="AH133">
        <v>12</v>
      </c>
      <c r="AI133">
        <v>15</v>
      </c>
      <c r="AJ133" t="s">
        <v>33</v>
      </c>
      <c r="AK133" s="1" t="s">
        <v>33</v>
      </c>
      <c r="AL133" s="50" t="s">
        <v>33</v>
      </c>
      <c r="AM133" s="19"/>
      <c r="AN133" t="s">
        <v>227</v>
      </c>
      <c r="AO133" s="1">
        <v>4</v>
      </c>
      <c r="AP133" s="13">
        <v>45113</v>
      </c>
      <c r="AQ133">
        <v>3</v>
      </c>
      <c r="AR133">
        <v>9</v>
      </c>
      <c r="AS133">
        <v>12</v>
      </c>
      <c r="AT133" t="s">
        <v>33</v>
      </c>
      <c r="AU133" s="1" t="s">
        <v>33</v>
      </c>
      <c r="AV133" t="s">
        <v>27</v>
      </c>
      <c r="AW133" s="19"/>
      <c r="AX133" t="s">
        <v>227</v>
      </c>
      <c r="AY133" s="1">
        <v>5</v>
      </c>
      <c r="AZ133" s="13">
        <v>45120</v>
      </c>
      <c r="BA133">
        <v>0</v>
      </c>
      <c r="BB133">
        <v>0</v>
      </c>
      <c r="BC133">
        <v>0</v>
      </c>
      <c r="BD133" t="s">
        <v>27</v>
      </c>
      <c r="BE133" s="1" t="s">
        <v>27</v>
      </c>
      <c r="BF133" t="s">
        <v>27</v>
      </c>
      <c r="BG133" s="19"/>
      <c r="BH133" t="s">
        <v>227</v>
      </c>
      <c r="BI133" s="1">
        <v>6</v>
      </c>
      <c r="BJ133" s="13">
        <v>45127</v>
      </c>
      <c r="BK133">
        <v>0</v>
      </c>
      <c r="BL133">
        <v>0</v>
      </c>
      <c r="BM133">
        <v>0</v>
      </c>
      <c r="BN133" t="s">
        <v>27</v>
      </c>
      <c r="BO133" s="6" t="s">
        <v>27</v>
      </c>
      <c r="BP133" t="s">
        <v>27</v>
      </c>
      <c r="BQ133" s="19"/>
      <c r="BR133" t="s">
        <v>227</v>
      </c>
      <c r="BS133" s="1">
        <v>7</v>
      </c>
      <c r="BT133" s="13">
        <v>45134</v>
      </c>
      <c r="BU133">
        <v>0</v>
      </c>
      <c r="BV133">
        <v>0</v>
      </c>
      <c r="BW133">
        <v>0</v>
      </c>
      <c r="BX133" s="51" t="s">
        <v>45</v>
      </c>
      <c r="BY133" s="51" t="s">
        <v>33</v>
      </c>
      <c r="BZ133" s="51" t="s">
        <v>45</v>
      </c>
      <c r="CA133" s="19" t="s">
        <v>228</v>
      </c>
      <c r="CC133" s="36" t="s">
        <v>227</v>
      </c>
      <c r="CD133" s="30">
        <f>SUM(O133+Y133+AI133+AS133+BC133+BM133+BW133)</f>
        <v>27</v>
      </c>
    </row>
    <row r="134" spans="1:82" thickBot="1" x14ac:dyDescent="0.35">
      <c r="A134" t="s">
        <v>229</v>
      </c>
      <c r="B134" t="s">
        <v>230</v>
      </c>
      <c r="C134">
        <v>32.642009999999999</v>
      </c>
      <c r="D134">
        <v>-83.503119999999996</v>
      </c>
      <c r="E134" s="13">
        <v>45081</v>
      </c>
      <c r="F134" s="13">
        <v>45087</v>
      </c>
      <c r="G134"/>
      <c r="H134" s="1" t="s">
        <v>226</v>
      </c>
      <c r="I134" s="20" t="s">
        <v>26</v>
      </c>
      <c r="J134" t="s">
        <v>229</v>
      </c>
      <c r="K134" s="1">
        <v>1</v>
      </c>
      <c r="L134" s="13">
        <v>45092</v>
      </c>
      <c r="M134">
        <v>0</v>
      </c>
      <c r="N134">
        <v>0</v>
      </c>
      <c r="O134">
        <v>0</v>
      </c>
      <c r="P134" t="s">
        <v>27</v>
      </c>
      <c r="Q134" s="1" t="s">
        <v>27</v>
      </c>
      <c r="R134" s="1" t="s">
        <v>27</v>
      </c>
      <c r="S134" s="19"/>
      <c r="T134" t="s">
        <v>229</v>
      </c>
      <c r="U134" s="1">
        <v>2</v>
      </c>
      <c r="V134" s="13">
        <v>45101</v>
      </c>
      <c r="W134">
        <v>0</v>
      </c>
      <c r="X134">
        <v>0</v>
      </c>
      <c r="Y134">
        <v>0</v>
      </c>
      <c r="Z134" t="s">
        <v>27</v>
      </c>
      <c r="AA134" s="1" t="s">
        <v>27</v>
      </c>
      <c r="AB134" t="s">
        <v>27</v>
      </c>
      <c r="AC134" s="19"/>
      <c r="AD134" t="s">
        <v>229</v>
      </c>
      <c r="AE134" s="1">
        <v>3</v>
      </c>
      <c r="AF134" s="13">
        <v>45108</v>
      </c>
      <c r="AG134">
        <v>0</v>
      </c>
      <c r="AH134">
        <v>0</v>
      </c>
      <c r="AI134">
        <v>0</v>
      </c>
      <c r="AJ134" t="s">
        <v>27</v>
      </c>
      <c r="AK134" s="1" t="s">
        <v>27</v>
      </c>
      <c r="AL134" s="50" t="s">
        <v>27</v>
      </c>
      <c r="AM134" s="19"/>
      <c r="AN134" t="s">
        <v>229</v>
      </c>
      <c r="AO134" s="1">
        <v>4</v>
      </c>
      <c r="AP134" s="13">
        <v>45115</v>
      </c>
      <c r="AQ134">
        <v>0</v>
      </c>
      <c r="AR134">
        <v>0</v>
      </c>
      <c r="AS134">
        <v>0</v>
      </c>
      <c r="AT134" t="s">
        <v>27</v>
      </c>
      <c r="AU134" s="1" t="s">
        <v>27</v>
      </c>
      <c r="AV134" t="s">
        <v>27</v>
      </c>
      <c r="AW134" s="19"/>
      <c r="AX134" t="s">
        <v>229</v>
      </c>
      <c r="AY134" s="1">
        <v>5</v>
      </c>
      <c r="AZ134" s="13">
        <v>45122</v>
      </c>
      <c r="BA134">
        <v>0</v>
      </c>
      <c r="BB134">
        <v>0</v>
      </c>
      <c r="BC134">
        <v>0</v>
      </c>
      <c r="BD134" t="s">
        <v>27</v>
      </c>
      <c r="BE134" s="1" t="s">
        <v>27</v>
      </c>
      <c r="BF134" t="s">
        <v>27</v>
      </c>
      <c r="BG134" s="19"/>
      <c r="BH134" t="s">
        <v>229</v>
      </c>
      <c r="BI134" s="1">
        <v>6</v>
      </c>
      <c r="BJ134" s="13">
        <v>45129</v>
      </c>
      <c r="BK134">
        <v>0</v>
      </c>
      <c r="BL134">
        <v>0</v>
      </c>
      <c r="BM134">
        <v>0</v>
      </c>
      <c r="BN134" t="s">
        <v>27</v>
      </c>
      <c r="BO134" s="1" t="s">
        <v>27</v>
      </c>
      <c r="BP134" t="s">
        <v>27</v>
      </c>
      <c r="BQ134" s="19"/>
      <c r="BR134" t="s">
        <v>229</v>
      </c>
      <c r="BS134" s="1">
        <v>7</v>
      </c>
      <c r="BT134" s="13">
        <v>45136</v>
      </c>
      <c r="BU134">
        <v>0</v>
      </c>
      <c r="BV134">
        <v>0</v>
      </c>
      <c r="BW134">
        <v>0</v>
      </c>
      <c r="BX134" s="51" t="s">
        <v>27</v>
      </c>
      <c r="BY134" s="51" t="s">
        <v>27</v>
      </c>
      <c r="BZ134" s="51" t="s">
        <v>27</v>
      </c>
      <c r="CA134" s="19"/>
      <c r="CC134" s="38" t="s">
        <v>229</v>
      </c>
      <c r="CD134" s="32">
        <f>SUM(O134+Y134+AI134+AS134+BC134+BM134+BW134)</f>
        <v>0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E60DA-7884-4249-970A-9063E2BCF8AA}">
  <dimension ref="A1:CJ202"/>
  <sheetViews>
    <sheetView zoomScaleNormal="100" workbookViewId="0">
      <pane ySplit="1" topLeftCell="A2" activePane="bottomLeft" state="frozen"/>
      <selection pane="bottomLeft" activeCell="C29" sqref="C29:D29"/>
    </sheetView>
  </sheetViews>
  <sheetFormatPr defaultRowHeight="15" customHeight="1" x14ac:dyDescent="0.3"/>
  <cols>
    <col min="1" max="1" width="9.5546875" bestFit="1" customWidth="1"/>
    <col min="2" max="2" width="28.44140625" bestFit="1" customWidth="1"/>
    <col min="3" max="3" width="8.5546875" bestFit="1" customWidth="1"/>
    <col min="4" max="4" width="9.88671875" bestFit="1" customWidth="1"/>
    <col min="5" max="5" width="12.88671875" style="1" bestFit="1" customWidth="1"/>
    <col min="6" max="6" width="10.77734375" style="1" customWidth="1"/>
    <col min="7" max="7" width="13.5546875" style="67" bestFit="1" customWidth="1"/>
    <col min="8" max="8" width="5.44140625" bestFit="1" customWidth="1"/>
    <col min="9" max="9" width="11.6640625" bestFit="1" customWidth="1"/>
    <col min="10" max="10" width="9.5546875" style="50" bestFit="1" customWidth="1"/>
    <col min="11" max="11" width="5.6640625" style="1" bestFit="1" customWidth="1"/>
    <col min="12" max="12" width="10.44140625" style="56" bestFit="1" customWidth="1"/>
    <col min="13" max="13" width="11.6640625" style="50" bestFit="1" customWidth="1"/>
    <col min="14" max="14" width="14.88671875" style="50" bestFit="1" customWidth="1"/>
    <col min="15" max="15" width="9.44140625" style="50" bestFit="1" customWidth="1"/>
    <col min="16" max="16" width="14" style="50" bestFit="1" customWidth="1"/>
    <col min="17" max="17" width="8.88671875" style="57"/>
    <col min="18" max="18" width="12.109375" style="57" bestFit="1" customWidth="1"/>
    <col min="19" max="19" width="5.88671875" style="50" bestFit="1" customWidth="1"/>
    <col min="20" max="20" width="9.5546875" style="50" bestFit="1" customWidth="1"/>
    <col min="21" max="21" width="5.6640625" style="1" bestFit="1" customWidth="1"/>
    <col min="22" max="22" width="10.44140625" style="56" bestFit="1" customWidth="1"/>
    <col min="23" max="23" width="11.6640625" style="50" bestFit="1" customWidth="1"/>
    <col min="24" max="24" width="14.88671875" style="50" bestFit="1" customWidth="1"/>
    <col min="25" max="25" width="9.44140625" style="50" bestFit="1" customWidth="1"/>
    <col min="26" max="26" width="14" style="50" bestFit="1" customWidth="1"/>
    <col min="27" max="27" width="8.88671875" style="57"/>
    <col min="28" max="28" width="10.44140625" style="50" bestFit="1" customWidth="1"/>
    <col min="29" max="29" width="5.88671875" style="58" bestFit="1" customWidth="1"/>
    <col min="30" max="30" width="9.5546875" style="50" bestFit="1" customWidth="1"/>
    <col min="31" max="31" width="5.6640625" style="1" bestFit="1" customWidth="1"/>
    <col min="32" max="32" width="10.44140625" style="56" bestFit="1" customWidth="1"/>
    <col min="33" max="33" width="11.6640625" style="50" bestFit="1" customWidth="1"/>
    <col min="34" max="34" width="14.88671875" style="50" bestFit="1" customWidth="1"/>
    <col min="35" max="35" width="9.44140625" style="50" bestFit="1" customWidth="1"/>
    <col min="36" max="36" width="14" style="50" bestFit="1" customWidth="1"/>
    <col min="37" max="37" width="9.109375" style="57" bestFit="1" customWidth="1"/>
    <col min="38" max="38" width="9.44140625" style="50" bestFit="1" customWidth="1"/>
    <col min="39" max="39" width="6.44140625" style="58" bestFit="1" customWidth="1"/>
    <col min="40" max="40" width="9.5546875" style="50" bestFit="1" customWidth="1"/>
    <col min="41" max="41" width="5.6640625" style="1" bestFit="1" customWidth="1"/>
    <col min="42" max="42" width="10.44140625" style="56" bestFit="1" customWidth="1"/>
    <col min="43" max="43" width="11.6640625" style="50" bestFit="1" customWidth="1"/>
    <col min="44" max="44" width="14.88671875" style="50" bestFit="1" customWidth="1"/>
    <col min="45" max="45" width="9.44140625" style="50" bestFit="1" customWidth="1"/>
    <col min="46" max="46" width="14" style="50" bestFit="1" customWidth="1"/>
    <col min="47" max="47" width="8.88671875" style="57" customWidth="1"/>
    <col min="48" max="48" width="9.44140625" style="50" bestFit="1" customWidth="1"/>
    <col min="49" max="49" width="5.88671875" style="58" bestFit="1" customWidth="1"/>
    <col min="50" max="50" width="9.5546875" style="50" bestFit="1" customWidth="1"/>
    <col min="51" max="51" width="5.6640625" style="1" bestFit="1" customWidth="1"/>
    <col min="52" max="52" width="10.44140625" style="50" bestFit="1" customWidth="1"/>
    <col min="53" max="53" width="11.6640625" style="50" bestFit="1" customWidth="1"/>
    <col min="54" max="54" width="14.88671875" style="50" bestFit="1" customWidth="1"/>
    <col min="55" max="55" width="9.44140625" style="50" bestFit="1" customWidth="1"/>
    <col min="56" max="56" width="14" style="50" bestFit="1" customWidth="1"/>
    <col min="57" max="57" width="9.109375" style="57" customWidth="1"/>
    <col min="58" max="58" width="9.44140625" style="50" bestFit="1" customWidth="1"/>
    <col min="59" max="59" width="5.88671875" style="58" bestFit="1" customWidth="1"/>
    <col min="60" max="60" width="9.5546875" style="50" bestFit="1" customWidth="1"/>
    <col min="61" max="61" width="5.6640625" style="1" bestFit="1" customWidth="1"/>
    <col min="62" max="62" width="10.44140625" style="50" bestFit="1" customWidth="1"/>
    <col min="63" max="63" width="11.6640625" style="50" bestFit="1" customWidth="1"/>
    <col min="64" max="64" width="14.88671875" style="50" bestFit="1" customWidth="1"/>
    <col min="65" max="65" width="9.44140625" style="50" bestFit="1" customWidth="1"/>
    <col min="66" max="66" width="14" style="50" bestFit="1" customWidth="1"/>
    <col min="67" max="67" width="9.109375" style="57" bestFit="1" customWidth="1"/>
    <col min="68" max="68" width="9.44140625" style="50" bestFit="1" customWidth="1"/>
    <col min="69" max="69" width="5.88671875" style="58" bestFit="1" customWidth="1"/>
    <col min="70" max="70" width="9.5546875" style="50" bestFit="1" customWidth="1"/>
    <col min="71" max="71" width="5.6640625" style="1" bestFit="1" customWidth="1"/>
    <col min="72" max="72" width="10.44140625" style="56" bestFit="1" customWidth="1"/>
    <col min="73" max="73" width="11.6640625" style="50" bestFit="1" customWidth="1"/>
    <col min="74" max="74" width="14.88671875" style="50" bestFit="1" customWidth="1"/>
    <col min="75" max="75" width="9.44140625" style="50" bestFit="1" customWidth="1"/>
    <col min="76" max="76" width="8.6640625" style="50" bestFit="1" customWidth="1"/>
    <col min="77" max="77" width="9.109375" style="50" bestFit="1" customWidth="1"/>
    <col min="78" max="78" width="17.33203125" style="50" bestFit="1" customWidth="1"/>
    <col min="79" max="79" width="6.109375" style="58" bestFit="1" customWidth="1"/>
    <col min="80" max="80" width="10.44140625" customWidth="1"/>
    <col min="81" max="81" width="14.5546875" bestFit="1" customWidth="1"/>
    <col min="82" max="82" width="9.6640625" style="1" bestFit="1" customWidth="1"/>
    <col min="84" max="84" width="25.88671875" customWidth="1"/>
    <col min="86" max="86" width="7" bestFit="1" customWidth="1"/>
    <col min="87" max="87" width="23.5546875" bestFit="1" customWidth="1"/>
    <col min="88" max="88" width="11.109375" bestFit="1" customWidth="1"/>
  </cols>
  <sheetData>
    <row r="1" spans="1:88" s="1" customFormat="1" thickBo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66" t="s">
        <v>6</v>
      </c>
      <c r="H1" s="3" t="s">
        <v>7</v>
      </c>
      <c r="I1" s="11" t="s">
        <v>8</v>
      </c>
      <c r="J1" s="3" t="s">
        <v>0</v>
      </c>
      <c r="K1" s="4" t="s">
        <v>9</v>
      </c>
      <c r="L1" s="60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7" t="s">
        <v>16</v>
      </c>
      <c r="S1" s="8" t="s">
        <v>17</v>
      </c>
      <c r="T1" s="3" t="s">
        <v>0</v>
      </c>
      <c r="U1" s="4" t="s">
        <v>9</v>
      </c>
      <c r="V1" s="60" t="s">
        <v>10</v>
      </c>
      <c r="W1" s="4" t="s">
        <v>11</v>
      </c>
      <c r="X1" s="4" t="s">
        <v>12</v>
      </c>
      <c r="Y1" s="4" t="s">
        <v>13</v>
      </c>
      <c r="Z1" s="4" t="s">
        <v>14</v>
      </c>
      <c r="AA1" s="4" t="s">
        <v>15</v>
      </c>
      <c r="AB1" s="4" t="s">
        <v>16</v>
      </c>
      <c r="AC1" s="5" t="s">
        <v>17</v>
      </c>
      <c r="AD1" s="3" t="s">
        <v>0</v>
      </c>
      <c r="AE1" s="4" t="s">
        <v>9</v>
      </c>
      <c r="AF1" s="60" t="s">
        <v>10</v>
      </c>
      <c r="AG1" s="4" t="s">
        <v>11</v>
      </c>
      <c r="AH1" s="4" t="s">
        <v>12</v>
      </c>
      <c r="AI1" s="4" t="s">
        <v>13</v>
      </c>
      <c r="AJ1" s="4" t="s">
        <v>14</v>
      </c>
      <c r="AK1" s="4" t="s">
        <v>15</v>
      </c>
      <c r="AL1" s="4" t="s">
        <v>16</v>
      </c>
      <c r="AM1" s="5" t="s">
        <v>17</v>
      </c>
      <c r="AN1" s="3" t="s">
        <v>0</v>
      </c>
      <c r="AO1" s="4" t="s">
        <v>9</v>
      </c>
      <c r="AP1" s="60" t="s">
        <v>10</v>
      </c>
      <c r="AQ1" s="4" t="s">
        <v>11</v>
      </c>
      <c r="AR1" s="4" t="s">
        <v>12</v>
      </c>
      <c r="AS1" s="4" t="s">
        <v>13</v>
      </c>
      <c r="AT1" s="4" t="s">
        <v>14</v>
      </c>
      <c r="AU1" s="4" t="s">
        <v>15</v>
      </c>
      <c r="AV1" s="4" t="s">
        <v>16</v>
      </c>
      <c r="AW1" s="5" t="s">
        <v>17</v>
      </c>
      <c r="AX1" s="3" t="s">
        <v>0</v>
      </c>
      <c r="AY1" s="4" t="s">
        <v>9</v>
      </c>
      <c r="AZ1" s="4" t="s">
        <v>10</v>
      </c>
      <c r="BA1" s="4" t="s">
        <v>11</v>
      </c>
      <c r="BB1" s="4" t="s">
        <v>12</v>
      </c>
      <c r="BC1" s="4" t="s">
        <v>13</v>
      </c>
      <c r="BD1" s="4" t="s">
        <v>14</v>
      </c>
      <c r="BE1" s="4" t="s">
        <v>15</v>
      </c>
      <c r="BF1" s="4" t="s">
        <v>16</v>
      </c>
      <c r="BG1" s="5" t="s">
        <v>17</v>
      </c>
      <c r="BH1" s="3" t="s">
        <v>0</v>
      </c>
      <c r="BI1" s="4" t="s">
        <v>9</v>
      </c>
      <c r="BJ1" s="4" t="s">
        <v>10</v>
      </c>
      <c r="BK1" s="4" t="s">
        <v>11</v>
      </c>
      <c r="BL1" s="4" t="s">
        <v>12</v>
      </c>
      <c r="BM1" s="4" t="s">
        <v>13</v>
      </c>
      <c r="BN1" s="4" t="s">
        <v>14</v>
      </c>
      <c r="BO1" s="4" t="s">
        <v>15</v>
      </c>
      <c r="BP1" s="4" t="s">
        <v>16</v>
      </c>
      <c r="BQ1" s="5" t="s">
        <v>17</v>
      </c>
      <c r="BR1" s="3" t="s">
        <v>0</v>
      </c>
      <c r="BS1" s="4" t="s">
        <v>9</v>
      </c>
      <c r="BT1" s="60" t="s">
        <v>10</v>
      </c>
      <c r="BU1" s="4" t="s">
        <v>11</v>
      </c>
      <c r="BV1" s="4" t="s">
        <v>12</v>
      </c>
      <c r="BW1" s="4" t="s">
        <v>13</v>
      </c>
      <c r="BX1" s="4" t="s">
        <v>14</v>
      </c>
      <c r="BY1" s="4" t="s">
        <v>15</v>
      </c>
      <c r="BZ1" s="4" t="s">
        <v>16</v>
      </c>
      <c r="CA1" s="5" t="s">
        <v>17</v>
      </c>
      <c r="CC1" s="82" t="s">
        <v>18</v>
      </c>
      <c r="CD1" s="83" t="s">
        <v>248</v>
      </c>
      <c r="CF1" s="84" t="s">
        <v>302</v>
      </c>
      <c r="CG1" s="84" t="s">
        <v>21</v>
      </c>
      <c r="CI1" s="112" t="s">
        <v>303</v>
      </c>
      <c r="CJ1" s="113"/>
    </row>
    <row r="2" spans="1:88" thickBot="1" x14ac:dyDescent="0.35">
      <c r="A2" s="50" t="s">
        <v>23</v>
      </c>
      <c r="B2" s="50" t="s">
        <v>24</v>
      </c>
      <c r="C2" s="68">
        <v>32.388159999999999</v>
      </c>
      <c r="D2" s="68">
        <v>-83.676869999999994</v>
      </c>
      <c r="E2" s="70">
        <v>45428</v>
      </c>
      <c r="F2" s="70">
        <v>45447</v>
      </c>
      <c r="G2" s="67">
        <v>45496</v>
      </c>
      <c r="H2" s="1" t="s">
        <v>25</v>
      </c>
      <c r="I2" s="1" t="s">
        <v>26</v>
      </c>
      <c r="J2" s="59" t="s">
        <v>23</v>
      </c>
      <c r="K2" s="6">
        <v>1</v>
      </c>
      <c r="L2" s="56">
        <v>45454</v>
      </c>
      <c r="M2" s="50">
        <v>0</v>
      </c>
      <c r="N2" s="50">
        <v>2</v>
      </c>
      <c r="O2" s="50">
        <f>SUM(M2+N2)</f>
        <v>2</v>
      </c>
      <c r="P2" s="50" t="s">
        <v>261</v>
      </c>
      <c r="Q2" s="57" t="s">
        <v>250</v>
      </c>
      <c r="R2" s="57" t="s">
        <v>262</v>
      </c>
      <c r="T2" s="59" t="s">
        <v>23</v>
      </c>
      <c r="U2" s="6">
        <v>2</v>
      </c>
      <c r="V2" s="56">
        <v>45461</v>
      </c>
      <c r="W2" s="50">
        <v>0</v>
      </c>
      <c r="X2" s="50">
        <v>0</v>
      </c>
      <c r="Y2" s="50">
        <f>SUM(W2+X2)</f>
        <v>0</v>
      </c>
      <c r="Z2" s="50" t="s">
        <v>250</v>
      </c>
      <c r="AA2" s="57" t="s">
        <v>250</v>
      </c>
      <c r="AC2" s="50"/>
      <c r="AD2" s="59" t="s">
        <v>23</v>
      </c>
      <c r="AE2" s="1">
        <v>3</v>
      </c>
      <c r="AF2" s="56">
        <v>45468</v>
      </c>
      <c r="AG2" s="50">
        <v>1</v>
      </c>
      <c r="AH2" s="50">
        <v>2</v>
      </c>
      <c r="AI2" s="50">
        <f>SUM(AG2+AH2)</f>
        <v>3</v>
      </c>
      <c r="AJ2" s="50" t="s">
        <v>252</v>
      </c>
      <c r="AK2" s="57" t="s">
        <v>250</v>
      </c>
      <c r="AL2" s="50" t="s">
        <v>253</v>
      </c>
      <c r="AM2" s="50"/>
      <c r="AN2" s="59" t="s">
        <v>23</v>
      </c>
      <c r="AO2" s="1">
        <v>4</v>
      </c>
      <c r="AP2" s="56">
        <v>45475</v>
      </c>
      <c r="AQ2" s="50">
        <v>3</v>
      </c>
      <c r="AR2" s="50">
        <v>6</v>
      </c>
      <c r="AS2" s="50">
        <f>SUM(AQ2+AR2)</f>
        <v>9</v>
      </c>
      <c r="AT2" s="50" t="s">
        <v>252</v>
      </c>
      <c r="AU2" s="57" t="s">
        <v>250</v>
      </c>
      <c r="AW2" s="50"/>
      <c r="AX2" s="59" t="s">
        <v>23</v>
      </c>
      <c r="AY2" s="1">
        <v>5</v>
      </c>
      <c r="AZ2" s="56">
        <v>45482</v>
      </c>
      <c r="BA2" s="50">
        <v>0</v>
      </c>
      <c r="BB2" s="50">
        <v>0</v>
      </c>
      <c r="BC2" s="50">
        <f t="shared" ref="BC2:BC9" si="0">SUM(BA2+BB2)</f>
        <v>0</v>
      </c>
      <c r="BD2" s="50" t="s">
        <v>250</v>
      </c>
      <c r="BE2" s="57" t="s">
        <v>250</v>
      </c>
      <c r="BG2" s="50"/>
      <c r="BH2" s="59" t="s">
        <v>23</v>
      </c>
      <c r="BI2" s="1">
        <v>6</v>
      </c>
      <c r="BJ2" s="56">
        <v>45489</v>
      </c>
      <c r="BK2" s="50">
        <v>0</v>
      </c>
      <c r="BL2" s="50">
        <v>0</v>
      </c>
      <c r="BM2" s="50">
        <f t="shared" ref="BM2:BM9" si="1">SUM(BK2+BL2)</f>
        <v>0</v>
      </c>
      <c r="BN2" s="50" t="s">
        <v>250</v>
      </c>
      <c r="BO2" s="57" t="s">
        <v>250</v>
      </c>
      <c r="BQ2" s="50"/>
      <c r="BR2" s="59" t="s">
        <v>23</v>
      </c>
      <c r="BS2" s="1">
        <v>7</v>
      </c>
      <c r="BT2" s="56">
        <v>45496</v>
      </c>
      <c r="BU2" s="50">
        <v>9</v>
      </c>
      <c r="BV2" s="50">
        <v>19</v>
      </c>
      <c r="BW2" s="50">
        <f>SUM(BU2+BV2)</f>
        <v>28</v>
      </c>
      <c r="BX2" s="50" t="s">
        <v>252</v>
      </c>
      <c r="BY2" s="50" t="s">
        <v>252</v>
      </c>
      <c r="CC2" s="73" t="s">
        <v>23</v>
      </c>
      <c r="CD2" s="74">
        <f t="shared" ref="CD2:CD33" si="2">SUM(O2+Y2+AI2+AS2+BC2+BM2+BW2)</f>
        <v>42</v>
      </c>
      <c r="CF2" s="28" t="s">
        <v>34</v>
      </c>
      <c r="CG2" s="33">
        <f>SUM(O2:O146)</f>
        <v>461</v>
      </c>
      <c r="CI2" s="43" t="s">
        <v>35</v>
      </c>
      <c r="CJ2" s="42">
        <f>SUM(CD2:CD146)</f>
        <v>3226</v>
      </c>
    </row>
    <row r="3" spans="1:88" thickBot="1" x14ac:dyDescent="0.35">
      <c r="A3" s="50" t="s">
        <v>36</v>
      </c>
      <c r="B3" s="50" t="s">
        <v>24</v>
      </c>
      <c r="C3" s="68">
        <v>32.393880000000003</v>
      </c>
      <c r="D3" s="68">
        <v>-83.595979999999997</v>
      </c>
      <c r="E3" s="70">
        <v>45427</v>
      </c>
      <c r="F3" s="70">
        <v>45447</v>
      </c>
      <c r="G3" s="67">
        <v>45496</v>
      </c>
      <c r="H3" s="1" t="s">
        <v>25</v>
      </c>
      <c r="I3" s="1" t="s">
        <v>26</v>
      </c>
      <c r="J3" s="59" t="s">
        <v>36</v>
      </c>
      <c r="K3" s="6">
        <v>1</v>
      </c>
      <c r="L3" s="56">
        <v>45454</v>
      </c>
      <c r="M3" s="50">
        <v>5</v>
      </c>
      <c r="N3" s="50">
        <v>0</v>
      </c>
      <c r="O3" s="50">
        <f t="shared" ref="O3:O66" si="3">SUM(M3+N3)</f>
        <v>5</v>
      </c>
      <c r="P3" s="50" t="s">
        <v>250</v>
      </c>
      <c r="Q3" s="57" t="s">
        <v>250</v>
      </c>
      <c r="R3" s="57" t="s">
        <v>264</v>
      </c>
      <c r="T3" s="59" t="s">
        <v>36</v>
      </c>
      <c r="U3" s="6">
        <v>2</v>
      </c>
      <c r="V3" s="56">
        <v>45461</v>
      </c>
      <c r="W3" s="50">
        <v>1</v>
      </c>
      <c r="X3" s="50">
        <v>1</v>
      </c>
      <c r="Y3" s="50">
        <f t="shared" ref="Y3:Y66" si="4">SUM(W3+X3)</f>
        <v>2</v>
      </c>
      <c r="Z3" s="50" t="s">
        <v>252</v>
      </c>
      <c r="AA3" s="57" t="s">
        <v>250</v>
      </c>
      <c r="AC3" s="50"/>
      <c r="AD3" s="59" t="s">
        <v>36</v>
      </c>
      <c r="AE3" s="1">
        <v>3</v>
      </c>
      <c r="AF3" s="56">
        <v>45468</v>
      </c>
      <c r="AG3" s="50">
        <v>0</v>
      </c>
      <c r="AH3" s="50">
        <v>0</v>
      </c>
      <c r="AI3" s="50">
        <f t="shared" ref="AI3:AI66" si="5">SUM(AG3+AH3)</f>
        <v>0</v>
      </c>
      <c r="AJ3" s="50" t="s">
        <v>250</v>
      </c>
      <c r="AK3" s="57" t="s">
        <v>250</v>
      </c>
      <c r="AM3" s="50"/>
      <c r="AN3" s="59" t="s">
        <v>36</v>
      </c>
      <c r="AO3" s="1">
        <v>4</v>
      </c>
      <c r="AP3" s="56">
        <v>45475</v>
      </c>
      <c r="AQ3" s="50">
        <v>4</v>
      </c>
      <c r="AR3" s="50">
        <v>0</v>
      </c>
      <c r="AS3" s="50">
        <f t="shared" ref="AS3:AS66" si="6">SUM(AQ3+AR3)</f>
        <v>4</v>
      </c>
      <c r="AT3" s="50" t="s">
        <v>252</v>
      </c>
      <c r="AU3" s="57" t="s">
        <v>250</v>
      </c>
      <c r="AW3" s="50"/>
      <c r="AX3" s="59" t="s">
        <v>36</v>
      </c>
      <c r="AY3" s="1">
        <v>5</v>
      </c>
      <c r="AZ3" s="56">
        <v>45482</v>
      </c>
      <c r="BA3" s="50">
        <v>0</v>
      </c>
      <c r="BB3" s="50">
        <v>1</v>
      </c>
      <c r="BC3" s="50">
        <f t="shared" si="0"/>
        <v>1</v>
      </c>
      <c r="BD3" s="50" t="s">
        <v>261</v>
      </c>
      <c r="BE3" s="57" t="s">
        <v>250</v>
      </c>
      <c r="BG3" s="50"/>
      <c r="BH3" s="59" t="s">
        <v>36</v>
      </c>
      <c r="BI3" s="1">
        <v>6</v>
      </c>
      <c r="BJ3" s="56">
        <v>45489</v>
      </c>
      <c r="BK3" s="50">
        <v>0</v>
      </c>
      <c r="BL3" s="50">
        <v>1</v>
      </c>
      <c r="BM3" s="50">
        <f t="shared" si="1"/>
        <v>1</v>
      </c>
      <c r="BN3" s="50" t="s">
        <v>252</v>
      </c>
      <c r="BO3" s="57" t="s">
        <v>250</v>
      </c>
      <c r="BQ3" s="50"/>
      <c r="BR3" s="59" t="s">
        <v>36</v>
      </c>
      <c r="BS3" s="1">
        <v>7</v>
      </c>
      <c r="BT3" s="56">
        <v>45496</v>
      </c>
      <c r="BU3" s="50">
        <v>0</v>
      </c>
      <c r="BV3" s="50">
        <v>0</v>
      </c>
      <c r="BW3" s="50">
        <f t="shared" ref="BW3:BW53" si="7">SUM(BU3+BV3)</f>
        <v>0</v>
      </c>
      <c r="BX3" s="50" t="s">
        <v>250</v>
      </c>
      <c r="BY3" s="50" t="s">
        <v>250</v>
      </c>
      <c r="CC3" s="75" t="s">
        <v>36</v>
      </c>
      <c r="CD3" s="76">
        <f t="shared" si="2"/>
        <v>13</v>
      </c>
      <c r="CF3" s="28" t="s">
        <v>37</v>
      </c>
      <c r="CG3" s="33">
        <f>SUM(Y2:Y146)</f>
        <v>455</v>
      </c>
      <c r="CI3" s="46" t="s">
        <v>38</v>
      </c>
      <c r="CJ3" s="48">
        <f>COUNTIF(CD2:CD146,"&gt;0")</f>
        <v>119</v>
      </c>
    </row>
    <row r="4" spans="1:88" thickBot="1" x14ac:dyDescent="0.35">
      <c r="A4" s="50" t="s">
        <v>39</v>
      </c>
      <c r="B4" s="50" t="s">
        <v>24</v>
      </c>
      <c r="C4" s="68">
        <v>32.401269999999997</v>
      </c>
      <c r="D4" s="68">
        <v>-83.669470000000004</v>
      </c>
      <c r="E4" s="70">
        <v>45427</v>
      </c>
      <c r="F4" s="70">
        <v>45447</v>
      </c>
      <c r="G4" s="67">
        <v>45496</v>
      </c>
      <c r="H4" s="1" t="s">
        <v>25</v>
      </c>
      <c r="I4" s="1" t="s">
        <v>26</v>
      </c>
      <c r="J4" s="59" t="s">
        <v>39</v>
      </c>
      <c r="K4" s="6">
        <v>1</v>
      </c>
      <c r="L4" s="56">
        <v>45454</v>
      </c>
      <c r="M4" s="50">
        <v>2</v>
      </c>
      <c r="N4" s="50">
        <v>0</v>
      </c>
      <c r="O4" s="50">
        <f t="shared" si="3"/>
        <v>2</v>
      </c>
      <c r="P4" s="50" t="s">
        <v>250</v>
      </c>
      <c r="Q4" s="57" t="s">
        <v>250</v>
      </c>
      <c r="R4" s="57" t="s">
        <v>260</v>
      </c>
      <c r="T4" s="59" t="s">
        <v>39</v>
      </c>
      <c r="U4" s="6">
        <v>2</v>
      </c>
      <c r="V4" s="56">
        <v>45461</v>
      </c>
      <c r="W4" s="50">
        <v>0</v>
      </c>
      <c r="X4" s="50">
        <v>0</v>
      </c>
      <c r="Y4" s="50">
        <f t="shared" si="4"/>
        <v>0</v>
      </c>
      <c r="Z4" s="50" t="s">
        <v>250</v>
      </c>
      <c r="AA4" s="57" t="s">
        <v>250</v>
      </c>
      <c r="AC4" s="50"/>
      <c r="AD4" s="59" t="s">
        <v>39</v>
      </c>
      <c r="AE4" s="1">
        <v>3</v>
      </c>
      <c r="AF4" s="56">
        <v>45468</v>
      </c>
      <c r="AG4" s="50">
        <v>0</v>
      </c>
      <c r="AH4" s="50">
        <v>0</v>
      </c>
      <c r="AI4" s="50">
        <f t="shared" ref="AI4:AI5" si="8">SUM(AG4+AH4)</f>
        <v>0</v>
      </c>
      <c r="AJ4" s="50" t="s">
        <v>250</v>
      </c>
      <c r="AK4" s="57" t="s">
        <v>250</v>
      </c>
      <c r="AM4" s="50"/>
      <c r="AN4" s="59" t="s">
        <v>39</v>
      </c>
      <c r="AO4" s="1">
        <v>4</v>
      </c>
      <c r="AP4" s="56">
        <v>45475</v>
      </c>
      <c r="AQ4" s="50">
        <v>2</v>
      </c>
      <c r="AR4" s="50">
        <v>3</v>
      </c>
      <c r="AS4" s="50">
        <f t="shared" si="6"/>
        <v>5</v>
      </c>
      <c r="AT4" s="50" t="s">
        <v>252</v>
      </c>
      <c r="AU4" s="57" t="s">
        <v>250</v>
      </c>
      <c r="AW4" s="50"/>
      <c r="AX4" s="59" t="s">
        <v>39</v>
      </c>
      <c r="AY4" s="1">
        <v>5</v>
      </c>
      <c r="AZ4" s="56">
        <v>45482</v>
      </c>
      <c r="BA4" s="50">
        <v>0</v>
      </c>
      <c r="BB4" s="50">
        <v>0</v>
      </c>
      <c r="BC4" s="50">
        <f t="shared" si="0"/>
        <v>0</v>
      </c>
      <c r="BD4" s="50" t="s">
        <v>250</v>
      </c>
      <c r="BE4" s="57" t="s">
        <v>250</v>
      </c>
      <c r="BG4" s="50"/>
      <c r="BH4" s="59" t="s">
        <v>39</v>
      </c>
      <c r="BI4" s="1">
        <v>6</v>
      </c>
      <c r="BJ4" s="56">
        <v>45489</v>
      </c>
      <c r="BK4" s="50">
        <v>0</v>
      </c>
      <c r="BL4" s="50">
        <v>0</v>
      </c>
      <c r="BM4" s="50">
        <f t="shared" si="1"/>
        <v>0</v>
      </c>
      <c r="BN4" s="50" t="s">
        <v>250</v>
      </c>
      <c r="BO4" s="57" t="s">
        <v>250</v>
      </c>
      <c r="BQ4" s="50"/>
      <c r="BR4" s="59" t="s">
        <v>39</v>
      </c>
      <c r="BS4" s="1">
        <v>7</v>
      </c>
      <c r="BT4" s="56">
        <v>45496</v>
      </c>
      <c r="BU4" s="50">
        <v>0</v>
      </c>
      <c r="BV4" s="50">
        <v>0</v>
      </c>
      <c r="BW4" s="50">
        <f t="shared" ref="BW4:BW7" si="9">SUM(BU4+BV4)</f>
        <v>0</v>
      </c>
      <c r="BX4" s="50" t="s">
        <v>250</v>
      </c>
      <c r="BY4" s="50" t="s">
        <v>250</v>
      </c>
      <c r="CC4" s="75" t="s">
        <v>39</v>
      </c>
      <c r="CD4" s="76">
        <f t="shared" si="2"/>
        <v>7</v>
      </c>
      <c r="CF4" s="28" t="s">
        <v>40</v>
      </c>
      <c r="CG4" s="33">
        <f>SUM(AI2:AI146)</f>
        <v>490</v>
      </c>
      <c r="CI4" s="47" t="s">
        <v>41</v>
      </c>
      <c r="CJ4" s="49">
        <f>(CJ3/138)*100</f>
        <v>86.231884057971016</v>
      </c>
    </row>
    <row r="5" spans="1:88" ht="14.4" x14ac:dyDescent="0.3">
      <c r="A5" s="50" t="s">
        <v>42</v>
      </c>
      <c r="B5" s="50" t="s">
        <v>24</v>
      </c>
      <c r="C5" s="68">
        <v>32.400269999999999</v>
      </c>
      <c r="D5" s="68">
        <v>-83.648349999999994</v>
      </c>
      <c r="E5" s="70">
        <v>45427</v>
      </c>
      <c r="F5" s="70">
        <v>45447</v>
      </c>
      <c r="G5" s="67">
        <v>45496</v>
      </c>
      <c r="H5" s="1" t="s">
        <v>25</v>
      </c>
      <c r="I5" s="1" t="s">
        <v>26</v>
      </c>
      <c r="J5" s="59" t="s">
        <v>42</v>
      </c>
      <c r="K5" s="6">
        <v>1</v>
      </c>
      <c r="L5" s="56">
        <v>45454</v>
      </c>
      <c r="M5" s="50">
        <v>0</v>
      </c>
      <c r="N5" s="50">
        <v>0</v>
      </c>
      <c r="O5" s="50">
        <v>0</v>
      </c>
      <c r="P5" s="50" t="s">
        <v>250</v>
      </c>
      <c r="Q5" s="50" t="s">
        <v>250</v>
      </c>
      <c r="T5" s="59" t="s">
        <v>42</v>
      </c>
      <c r="U5" s="6">
        <v>2</v>
      </c>
      <c r="V5" s="56">
        <v>45461</v>
      </c>
      <c r="W5" s="50">
        <v>0</v>
      </c>
      <c r="X5" s="50">
        <v>0</v>
      </c>
      <c r="Y5" s="50">
        <v>0</v>
      </c>
      <c r="Z5" s="50" t="s">
        <v>250</v>
      </c>
      <c r="AA5" s="57" t="s">
        <v>250</v>
      </c>
      <c r="AC5" s="50"/>
      <c r="AD5" s="59" t="s">
        <v>42</v>
      </c>
      <c r="AE5" s="1">
        <v>3</v>
      </c>
      <c r="AF5" s="56">
        <v>45468</v>
      </c>
      <c r="AG5" s="50">
        <v>0</v>
      </c>
      <c r="AH5" s="50">
        <v>0</v>
      </c>
      <c r="AI5" s="50">
        <f t="shared" si="8"/>
        <v>0</v>
      </c>
      <c r="AJ5" s="50" t="s">
        <v>250</v>
      </c>
      <c r="AK5" s="57" t="s">
        <v>250</v>
      </c>
      <c r="AM5" s="50"/>
      <c r="AN5" s="59" t="s">
        <v>42</v>
      </c>
      <c r="AO5" s="1">
        <v>4</v>
      </c>
      <c r="AP5" s="56">
        <v>45475</v>
      </c>
      <c r="AQ5" s="50">
        <v>0</v>
      </c>
      <c r="AR5" s="50">
        <v>0</v>
      </c>
      <c r="AS5" s="50">
        <f t="shared" si="6"/>
        <v>0</v>
      </c>
      <c r="AT5" s="50" t="s">
        <v>250</v>
      </c>
      <c r="AU5" s="57" t="s">
        <v>250</v>
      </c>
      <c r="AW5" s="50"/>
      <c r="AX5" s="59" t="s">
        <v>42</v>
      </c>
      <c r="AY5" s="1">
        <v>5</v>
      </c>
      <c r="AZ5" s="56">
        <v>45482</v>
      </c>
      <c r="BA5" s="50">
        <v>3</v>
      </c>
      <c r="BB5" s="50">
        <v>3</v>
      </c>
      <c r="BC5" s="50">
        <f t="shared" si="0"/>
        <v>6</v>
      </c>
      <c r="BD5" s="50" t="s">
        <v>252</v>
      </c>
      <c r="BE5" s="57" t="s">
        <v>250</v>
      </c>
      <c r="BG5" s="50"/>
      <c r="BH5" s="59" t="s">
        <v>42</v>
      </c>
      <c r="BI5" s="1">
        <v>6</v>
      </c>
      <c r="BJ5" s="56">
        <v>45489</v>
      </c>
      <c r="BK5" s="50">
        <v>0</v>
      </c>
      <c r="BL5" s="50">
        <v>0</v>
      </c>
      <c r="BM5" s="50">
        <f t="shared" si="1"/>
        <v>0</v>
      </c>
      <c r="BN5" s="50" t="s">
        <v>250</v>
      </c>
      <c r="BO5" s="57" t="s">
        <v>250</v>
      </c>
      <c r="BQ5" s="50"/>
      <c r="BR5" s="59" t="s">
        <v>42</v>
      </c>
      <c r="BS5" s="1">
        <v>7</v>
      </c>
      <c r="BT5" s="56">
        <v>45496</v>
      </c>
      <c r="BU5" s="50">
        <v>0</v>
      </c>
      <c r="BV5" s="50">
        <v>0</v>
      </c>
      <c r="BW5" s="50">
        <f t="shared" si="9"/>
        <v>0</v>
      </c>
      <c r="BX5" s="50" t="s">
        <v>250</v>
      </c>
      <c r="BY5" s="50" t="s">
        <v>250</v>
      </c>
      <c r="CC5" s="75" t="s">
        <v>42</v>
      </c>
      <c r="CD5" s="76">
        <f t="shared" si="2"/>
        <v>6</v>
      </c>
      <c r="CF5" s="28" t="s">
        <v>43</v>
      </c>
      <c r="CG5" s="33">
        <f>SUM(AS2:AS146)</f>
        <v>374</v>
      </c>
    </row>
    <row r="6" spans="1:88" ht="14.4" x14ac:dyDescent="0.3">
      <c r="A6" s="50" t="s">
        <v>44</v>
      </c>
      <c r="B6" s="50" t="s">
        <v>24</v>
      </c>
      <c r="C6" s="68">
        <v>32.407739999999997</v>
      </c>
      <c r="D6" s="68">
        <v>-83.627619999999993</v>
      </c>
      <c r="E6" s="70">
        <v>45427</v>
      </c>
      <c r="F6" s="70">
        <v>45447</v>
      </c>
      <c r="G6" s="67">
        <v>45496</v>
      </c>
      <c r="H6" s="1" t="s">
        <v>25</v>
      </c>
      <c r="I6" s="1" t="s">
        <v>26</v>
      </c>
      <c r="J6" s="59" t="s">
        <v>44</v>
      </c>
      <c r="K6" s="6">
        <v>1</v>
      </c>
      <c r="L6" s="56">
        <v>45454</v>
      </c>
      <c r="M6" s="50">
        <v>0</v>
      </c>
      <c r="N6" s="50">
        <v>3</v>
      </c>
      <c r="O6" s="50">
        <f t="shared" si="3"/>
        <v>3</v>
      </c>
      <c r="P6" s="50" t="s">
        <v>261</v>
      </c>
      <c r="Q6" s="57" t="s">
        <v>250</v>
      </c>
      <c r="R6" s="57" t="s">
        <v>263</v>
      </c>
      <c r="T6" s="59" t="s">
        <v>44</v>
      </c>
      <c r="U6" s="6">
        <v>2</v>
      </c>
      <c r="V6" s="56">
        <v>45461</v>
      </c>
      <c r="W6" s="50">
        <v>3</v>
      </c>
      <c r="X6" s="50">
        <v>2</v>
      </c>
      <c r="Y6" s="50">
        <f t="shared" si="4"/>
        <v>5</v>
      </c>
      <c r="Z6" s="50" t="s">
        <v>252</v>
      </c>
      <c r="AA6" s="57" t="s">
        <v>250</v>
      </c>
      <c r="AC6" s="50"/>
      <c r="AD6" s="59" t="s">
        <v>44</v>
      </c>
      <c r="AE6" s="1">
        <v>3</v>
      </c>
      <c r="AF6" s="56">
        <v>45468</v>
      </c>
      <c r="AG6" s="50">
        <v>0</v>
      </c>
      <c r="AH6" s="50">
        <v>2</v>
      </c>
      <c r="AI6" s="50">
        <f t="shared" si="5"/>
        <v>2</v>
      </c>
      <c r="AJ6" s="50" t="s">
        <v>252</v>
      </c>
      <c r="AK6" s="57" t="s">
        <v>252</v>
      </c>
      <c r="AM6" s="50"/>
      <c r="AN6" s="59" t="s">
        <v>44</v>
      </c>
      <c r="AO6" s="1">
        <v>4</v>
      </c>
      <c r="AP6" s="56">
        <v>45475</v>
      </c>
      <c r="AQ6" s="50">
        <v>0</v>
      </c>
      <c r="AR6" s="50">
        <v>1</v>
      </c>
      <c r="AS6" s="50">
        <f t="shared" si="6"/>
        <v>1</v>
      </c>
      <c r="AT6" s="50" t="s">
        <v>261</v>
      </c>
      <c r="AU6" s="57" t="s">
        <v>250</v>
      </c>
      <c r="AW6" s="50"/>
      <c r="AX6" s="59" t="s">
        <v>44</v>
      </c>
      <c r="AY6" s="1">
        <v>5</v>
      </c>
      <c r="AZ6" s="56">
        <v>45482</v>
      </c>
      <c r="BA6" s="50">
        <v>0</v>
      </c>
      <c r="BB6" s="50">
        <v>0</v>
      </c>
      <c r="BC6" s="50">
        <f t="shared" si="0"/>
        <v>0</v>
      </c>
      <c r="BD6" s="50" t="s">
        <v>250</v>
      </c>
      <c r="BE6" s="57" t="s">
        <v>250</v>
      </c>
      <c r="BG6" s="50"/>
      <c r="BH6" s="59" t="s">
        <v>44</v>
      </c>
      <c r="BI6" s="1">
        <v>6</v>
      </c>
      <c r="BJ6" s="56">
        <v>45489</v>
      </c>
      <c r="BK6" s="50">
        <v>0</v>
      </c>
      <c r="BL6" s="50">
        <v>3</v>
      </c>
      <c r="BM6" s="50">
        <f t="shared" si="1"/>
        <v>3</v>
      </c>
      <c r="BN6" s="50" t="s">
        <v>252</v>
      </c>
      <c r="BO6" s="57" t="s">
        <v>250</v>
      </c>
      <c r="BQ6" s="50"/>
      <c r="BR6" s="59" t="s">
        <v>44</v>
      </c>
      <c r="BS6" s="1">
        <v>7</v>
      </c>
      <c r="BT6" s="56">
        <v>45496</v>
      </c>
      <c r="BU6" s="50">
        <v>0</v>
      </c>
      <c r="BV6" s="50">
        <v>0</v>
      </c>
      <c r="BW6" s="50">
        <f t="shared" si="9"/>
        <v>0</v>
      </c>
      <c r="BX6" s="50" t="s">
        <v>250</v>
      </c>
      <c r="BY6" s="50" t="s">
        <v>250</v>
      </c>
      <c r="CC6" s="75" t="s">
        <v>44</v>
      </c>
      <c r="CD6" s="76">
        <f t="shared" si="2"/>
        <v>14</v>
      </c>
      <c r="CF6" s="28" t="s">
        <v>46</v>
      </c>
      <c r="CG6" s="33">
        <f>SUM(BC2:BC146)</f>
        <v>436</v>
      </c>
    </row>
    <row r="7" spans="1:88" ht="14.4" x14ac:dyDescent="0.3">
      <c r="A7" s="50" t="s">
        <v>47</v>
      </c>
      <c r="B7" s="50" t="s">
        <v>24</v>
      </c>
      <c r="C7" s="68">
        <v>32.419199999999996</v>
      </c>
      <c r="D7" s="68">
        <v>-83.62227</v>
      </c>
      <c r="E7" s="70">
        <v>45427</v>
      </c>
      <c r="F7" s="70">
        <v>45447</v>
      </c>
      <c r="G7" s="67">
        <v>45497</v>
      </c>
      <c r="H7" s="1" t="s">
        <v>25</v>
      </c>
      <c r="I7" s="1" t="s">
        <v>26</v>
      </c>
      <c r="J7" s="59" t="s">
        <v>47</v>
      </c>
      <c r="K7" s="6">
        <v>1</v>
      </c>
      <c r="L7" s="56">
        <v>45454</v>
      </c>
      <c r="M7" s="50">
        <v>0</v>
      </c>
      <c r="N7" s="50">
        <v>1</v>
      </c>
      <c r="O7" s="50">
        <f t="shared" si="3"/>
        <v>1</v>
      </c>
      <c r="P7" s="50" t="s">
        <v>261</v>
      </c>
      <c r="Q7" s="57" t="s">
        <v>250</v>
      </c>
      <c r="R7" s="57" t="s">
        <v>260</v>
      </c>
      <c r="T7" s="59" t="s">
        <v>47</v>
      </c>
      <c r="U7" s="6">
        <v>2</v>
      </c>
      <c r="V7" s="56">
        <v>45461</v>
      </c>
      <c r="W7" s="50">
        <v>1</v>
      </c>
      <c r="X7" s="50">
        <v>0</v>
      </c>
      <c r="Y7" s="50">
        <f t="shared" si="4"/>
        <v>1</v>
      </c>
      <c r="Z7" s="50" t="s">
        <v>250</v>
      </c>
      <c r="AA7" s="57" t="s">
        <v>250</v>
      </c>
      <c r="AB7" s="50" t="s">
        <v>253</v>
      </c>
      <c r="AC7" s="50"/>
      <c r="AD7" s="59" t="s">
        <v>47</v>
      </c>
      <c r="AE7" s="1">
        <v>3</v>
      </c>
      <c r="AF7" s="56">
        <v>45468</v>
      </c>
      <c r="AG7" s="50">
        <v>0</v>
      </c>
      <c r="AH7" s="50">
        <v>0</v>
      </c>
      <c r="AI7" s="50">
        <f t="shared" si="5"/>
        <v>0</v>
      </c>
      <c r="AJ7" s="50" t="s">
        <v>250</v>
      </c>
      <c r="AK7" s="57" t="s">
        <v>250</v>
      </c>
      <c r="AM7" s="50"/>
      <c r="AN7" s="59" t="s">
        <v>47</v>
      </c>
      <c r="AO7" s="1">
        <v>4</v>
      </c>
      <c r="AP7" s="56">
        <v>45475</v>
      </c>
      <c r="AQ7" s="50">
        <v>0</v>
      </c>
      <c r="AR7" s="50">
        <v>1</v>
      </c>
      <c r="AS7" s="50">
        <f t="shared" si="6"/>
        <v>1</v>
      </c>
      <c r="AT7" s="50" t="s">
        <v>252</v>
      </c>
      <c r="AU7" s="57" t="s">
        <v>250</v>
      </c>
      <c r="AW7" s="50"/>
      <c r="AX7" s="59" t="s">
        <v>47</v>
      </c>
      <c r="AY7" s="1">
        <v>5</v>
      </c>
      <c r="AZ7" s="56">
        <v>45482</v>
      </c>
      <c r="BA7" s="50">
        <v>0</v>
      </c>
      <c r="BB7" s="50">
        <v>0</v>
      </c>
      <c r="BC7" s="50">
        <f t="shared" si="0"/>
        <v>0</v>
      </c>
      <c r="BD7" s="50" t="s">
        <v>250</v>
      </c>
      <c r="BE7" s="57" t="s">
        <v>250</v>
      </c>
      <c r="BG7" s="50"/>
      <c r="BH7" s="59" t="s">
        <v>47</v>
      </c>
      <c r="BI7" s="1">
        <v>6</v>
      </c>
      <c r="BJ7" s="56">
        <v>45489</v>
      </c>
      <c r="BK7" s="50">
        <v>0</v>
      </c>
      <c r="BL7" s="50">
        <v>0</v>
      </c>
      <c r="BM7" s="50">
        <f t="shared" si="1"/>
        <v>0</v>
      </c>
      <c r="BN7" s="50" t="s">
        <v>250</v>
      </c>
      <c r="BO7" s="57" t="s">
        <v>250</v>
      </c>
      <c r="BQ7" s="50"/>
      <c r="BR7" s="59" t="s">
        <v>47</v>
      </c>
      <c r="BS7" s="1">
        <v>7</v>
      </c>
      <c r="BT7" s="56">
        <v>45496</v>
      </c>
      <c r="BU7" s="50">
        <v>0</v>
      </c>
      <c r="BV7" s="50">
        <v>2</v>
      </c>
      <c r="BW7" s="50">
        <f t="shared" si="9"/>
        <v>2</v>
      </c>
      <c r="BX7" s="50" t="s">
        <v>252</v>
      </c>
      <c r="BY7" s="50" t="s">
        <v>250</v>
      </c>
      <c r="CC7" s="75" t="s">
        <v>47</v>
      </c>
      <c r="CD7" s="76">
        <f t="shared" si="2"/>
        <v>5</v>
      </c>
      <c r="CF7" s="28" t="s">
        <v>48</v>
      </c>
      <c r="CG7" s="33">
        <f>SUM(BM2:BM146)</f>
        <v>533</v>
      </c>
    </row>
    <row r="8" spans="1:88" thickBot="1" x14ac:dyDescent="0.35">
      <c r="A8" s="50" t="s">
        <v>49</v>
      </c>
      <c r="B8" s="50" t="s">
        <v>24</v>
      </c>
      <c r="C8" s="68">
        <v>32.417769999999997</v>
      </c>
      <c r="D8" s="68">
        <v>-83.604709999999997</v>
      </c>
      <c r="E8" s="70">
        <v>45427</v>
      </c>
      <c r="F8" s="70">
        <v>45447</v>
      </c>
      <c r="G8" s="67">
        <v>45498</v>
      </c>
      <c r="H8" s="1" t="s">
        <v>25</v>
      </c>
      <c r="I8" s="1" t="s">
        <v>26</v>
      </c>
      <c r="J8" s="59" t="s">
        <v>49</v>
      </c>
      <c r="K8" s="6">
        <v>1</v>
      </c>
      <c r="L8" s="56">
        <v>45454</v>
      </c>
      <c r="M8" s="50">
        <v>1</v>
      </c>
      <c r="N8" s="50">
        <v>1</v>
      </c>
      <c r="O8" s="50">
        <f t="shared" si="3"/>
        <v>2</v>
      </c>
      <c r="P8" s="50" t="s">
        <v>250</v>
      </c>
      <c r="Q8" s="57" t="s">
        <v>250</v>
      </c>
      <c r="R8" s="57" t="s">
        <v>258</v>
      </c>
      <c r="T8" s="59" t="s">
        <v>49</v>
      </c>
      <c r="U8" s="6">
        <v>2</v>
      </c>
      <c r="V8" s="56">
        <v>45461</v>
      </c>
      <c r="W8" s="50">
        <v>1</v>
      </c>
      <c r="X8" s="50">
        <v>0</v>
      </c>
      <c r="Y8" s="50">
        <f t="shared" si="4"/>
        <v>1</v>
      </c>
      <c r="Z8" s="50" t="s">
        <v>252</v>
      </c>
      <c r="AA8" s="57" t="s">
        <v>250</v>
      </c>
      <c r="AC8" s="50"/>
      <c r="AD8" s="59" t="s">
        <v>49</v>
      </c>
      <c r="AE8" s="1">
        <v>3</v>
      </c>
      <c r="AF8" s="56">
        <v>45468</v>
      </c>
      <c r="AG8" s="50">
        <v>0</v>
      </c>
      <c r="AH8" s="50">
        <v>0</v>
      </c>
      <c r="AI8" s="50">
        <f t="shared" si="5"/>
        <v>0</v>
      </c>
      <c r="AJ8" s="50" t="s">
        <v>250</v>
      </c>
      <c r="AK8" s="57" t="s">
        <v>250</v>
      </c>
      <c r="AM8" s="50"/>
      <c r="AN8" s="59" t="s">
        <v>49</v>
      </c>
      <c r="AO8" s="1">
        <v>4</v>
      </c>
      <c r="AP8" s="56">
        <v>45475</v>
      </c>
      <c r="AQ8" s="50">
        <v>0</v>
      </c>
      <c r="AR8" s="50">
        <v>0</v>
      </c>
      <c r="AS8" s="50">
        <f t="shared" si="6"/>
        <v>0</v>
      </c>
      <c r="AT8" s="50" t="s">
        <v>250</v>
      </c>
      <c r="AU8" s="57" t="s">
        <v>250</v>
      </c>
      <c r="AW8" s="50"/>
      <c r="AX8" s="59" t="s">
        <v>49</v>
      </c>
      <c r="AY8" s="1">
        <v>5</v>
      </c>
      <c r="AZ8" s="56">
        <v>45482</v>
      </c>
      <c r="BA8" s="50">
        <v>0</v>
      </c>
      <c r="BB8" s="50">
        <v>0</v>
      </c>
      <c r="BC8" s="50">
        <f t="shared" si="0"/>
        <v>0</v>
      </c>
      <c r="BD8" s="50" t="s">
        <v>250</v>
      </c>
      <c r="BE8" s="57" t="s">
        <v>250</v>
      </c>
      <c r="BG8" s="50"/>
      <c r="BH8" s="59" t="s">
        <v>49</v>
      </c>
      <c r="BI8" s="1">
        <v>6</v>
      </c>
      <c r="BJ8" s="56">
        <v>45489</v>
      </c>
      <c r="BK8" s="50">
        <v>0</v>
      </c>
      <c r="BL8" s="50">
        <v>0</v>
      </c>
      <c r="BM8" s="50">
        <f t="shared" si="1"/>
        <v>0</v>
      </c>
      <c r="BN8" s="50" t="s">
        <v>250</v>
      </c>
      <c r="BO8" s="57" t="s">
        <v>250</v>
      </c>
      <c r="BQ8" s="50"/>
      <c r="BR8" s="59" t="s">
        <v>49</v>
      </c>
      <c r="BS8" s="1">
        <v>7</v>
      </c>
      <c r="BT8" s="56">
        <v>45496</v>
      </c>
      <c r="BU8" s="50">
        <v>0</v>
      </c>
      <c r="BV8" s="50">
        <v>0</v>
      </c>
      <c r="BW8" s="50">
        <f t="shared" ref="BW8:BW9" si="10">SUM(BU8+BV8)</f>
        <v>0</v>
      </c>
      <c r="BX8" s="50" t="s">
        <v>250</v>
      </c>
      <c r="BY8" s="50" t="s">
        <v>250</v>
      </c>
      <c r="CC8" s="75" t="s">
        <v>49</v>
      </c>
      <c r="CD8" s="76">
        <f t="shared" si="2"/>
        <v>3</v>
      </c>
      <c r="CF8" s="31" t="s">
        <v>50</v>
      </c>
      <c r="CG8" s="34">
        <f>SUM(BW2:BW146)</f>
        <v>477</v>
      </c>
    </row>
    <row r="9" spans="1:88" thickBot="1" x14ac:dyDescent="0.35">
      <c r="A9" s="50" t="s">
        <v>51</v>
      </c>
      <c r="B9" s="50" t="s">
        <v>24</v>
      </c>
      <c r="C9" s="68">
        <v>32.416730000000001</v>
      </c>
      <c r="D9" s="68">
        <v>-83.5929</v>
      </c>
      <c r="E9" s="70">
        <v>45427</v>
      </c>
      <c r="F9" s="70">
        <v>45447</v>
      </c>
      <c r="G9" s="67">
        <v>45499</v>
      </c>
      <c r="H9" s="1" t="s">
        <v>25</v>
      </c>
      <c r="I9" s="1" t="s">
        <v>26</v>
      </c>
      <c r="J9" s="59" t="s">
        <v>51</v>
      </c>
      <c r="K9" s="6">
        <v>1</v>
      </c>
      <c r="L9" s="56">
        <v>45454</v>
      </c>
      <c r="M9" s="50">
        <v>2</v>
      </c>
      <c r="N9" s="50">
        <v>1</v>
      </c>
      <c r="O9" s="50">
        <f t="shared" si="3"/>
        <v>3</v>
      </c>
      <c r="P9" s="50" t="s">
        <v>252</v>
      </c>
      <c r="Q9" s="57" t="s">
        <v>250</v>
      </c>
      <c r="T9" s="59" t="s">
        <v>51</v>
      </c>
      <c r="U9" s="6">
        <v>2</v>
      </c>
      <c r="V9" s="56">
        <v>45461</v>
      </c>
      <c r="W9" s="50">
        <v>0</v>
      </c>
      <c r="X9" s="50">
        <v>0</v>
      </c>
      <c r="Y9" s="50">
        <f t="shared" si="4"/>
        <v>0</v>
      </c>
      <c r="Z9" s="50" t="s">
        <v>250</v>
      </c>
      <c r="AA9" s="57" t="s">
        <v>250</v>
      </c>
      <c r="AC9" s="50"/>
      <c r="AD9" s="59" t="s">
        <v>51</v>
      </c>
      <c r="AE9" s="1">
        <v>3</v>
      </c>
      <c r="AF9" s="56">
        <v>45468</v>
      </c>
      <c r="AG9" s="50">
        <v>0</v>
      </c>
      <c r="AH9" s="50">
        <v>1</v>
      </c>
      <c r="AI9" s="50">
        <f t="shared" si="5"/>
        <v>1</v>
      </c>
      <c r="AJ9" s="50" t="s">
        <v>250</v>
      </c>
      <c r="AK9" s="57" t="s">
        <v>250</v>
      </c>
      <c r="AL9" s="50" t="s">
        <v>253</v>
      </c>
      <c r="AM9" s="50"/>
      <c r="AN9" s="59" t="s">
        <v>51</v>
      </c>
      <c r="AO9" s="1">
        <v>4</v>
      </c>
      <c r="AP9" s="56">
        <v>45475</v>
      </c>
      <c r="AQ9" s="50">
        <v>0</v>
      </c>
      <c r="AR9" s="50">
        <v>0</v>
      </c>
      <c r="AS9" s="50">
        <f t="shared" ref="AS9" si="11">SUM(AQ9+AR9)</f>
        <v>0</v>
      </c>
      <c r="AT9" s="50" t="s">
        <v>250</v>
      </c>
      <c r="AU9" s="57" t="s">
        <v>250</v>
      </c>
      <c r="AW9" s="50"/>
      <c r="AX9" s="59" t="s">
        <v>51</v>
      </c>
      <c r="AY9" s="1">
        <v>5</v>
      </c>
      <c r="AZ9" s="56">
        <v>45482</v>
      </c>
      <c r="BA9" s="50">
        <v>0</v>
      </c>
      <c r="BB9" s="50">
        <v>4</v>
      </c>
      <c r="BC9" s="50">
        <f t="shared" si="0"/>
        <v>4</v>
      </c>
      <c r="BD9" s="50" t="s">
        <v>252</v>
      </c>
      <c r="BE9" s="57" t="s">
        <v>250</v>
      </c>
      <c r="BG9" s="50"/>
      <c r="BH9" s="59" t="s">
        <v>51</v>
      </c>
      <c r="BI9" s="1">
        <v>6</v>
      </c>
      <c r="BJ9" s="56">
        <v>45489</v>
      </c>
      <c r="BK9" s="50">
        <v>0</v>
      </c>
      <c r="BL9" s="50">
        <v>0</v>
      </c>
      <c r="BM9" s="50">
        <f t="shared" si="1"/>
        <v>0</v>
      </c>
      <c r="BN9" s="50" t="s">
        <v>250</v>
      </c>
      <c r="BO9" s="57" t="s">
        <v>250</v>
      </c>
      <c r="BQ9" s="50"/>
      <c r="BR9" s="59" t="s">
        <v>51</v>
      </c>
      <c r="BS9" s="1">
        <v>7</v>
      </c>
      <c r="BT9" s="56">
        <v>45496</v>
      </c>
      <c r="BU9" s="50">
        <v>9</v>
      </c>
      <c r="BV9" s="50">
        <v>1</v>
      </c>
      <c r="BW9" s="50">
        <f t="shared" si="10"/>
        <v>10</v>
      </c>
      <c r="BX9" s="50" t="s">
        <v>252</v>
      </c>
      <c r="BY9" s="50" t="s">
        <v>252</v>
      </c>
      <c r="CC9" s="77" t="s">
        <v>51</v>
      </c>
      <c r="CD9" s="78">
        <f t="shared" si="2"/>
        <v>18</v>
      </c>
    </row>
    <row r="10" spans="1:88" thickBot="1" x14ac:dyDescent="0.35">
      <c r="A10" s="50" t="s">
        <v>52</v>
      </c>
      <c r="B10" s="50" t="s">
        <v>53</v>
      </c>
      <c r="C10" s="68">
        <v>32.379930000000002</v>
      </c>
      <c r="D10" s="68">
        <v>-83.560749999999999</v>
      </c>
      <c r="E10" s="70">
        <v>45424</v>
      </c>
      <c r="F10" s="70">
        <v>45446</v>
      </c>
      <c r="G10" s="67">
        <v>45501</v>
      </c>
      <c r="H10" s="1" t="s">
        <v>25</v>
      </c>
      <c r="I10" s="1" t="s">
        <v>26</v>
      </c>
      <c r="J10" s="59" t="s">
        <v>52</v>
      </c>
      <c r="K10" s="6">
        <v>1</v>
      </c>
      <c r="L10" s="56">
        <v>45453</v>
      </c>
      <c r="M10" s="50">
        <v>3</v>
      </c>
      <c r="N10" s="50">
        <v>0</v>
      </c>
      <c r="O10" s="50">
        <f t="shared" si="3"/>
        <v>3</v>
      </c>
      <c r="P10" s="50" t="s">
        <v>252</v>
      </c>
      <c r="Q10" s="57" t="s">
        <v>252</v>
      </c>
      <c r="T10" s="59" t="s">
        <v>52</v>
      </c>
      <c r="U10" s="6">
        <v>2</v>
      </c>
      <c r="V10" s="56">
        <v>45460</v>
      </c>
      <c r="W10" s="50">
        <v>0</v>
      </c>
      <c r="X10" s="50">
        <v>0</v>
      </c>
      <c r="Y10" s="50">
        <f t="shared" si="4"/>
        <v>0</v>
      </c>
      <c r="Z10" s="50" t="s">
        <v>250</v>
      </c>
      <c r="AA10" s="57" t="s">
        <v>250</v>
      </c>
      <c r="AC10" s="50"/>
      <c r="AD10" s="59" t="s">
        <v>52</v>
      </c>
      <c r="AE10" s="1">
        <v>3</v>
      </c>
      <c r="AF10" s="56">
        <v>45467</v>
      </c>
      <c r="AG10" s="50">
        <v>1</v>
      </c>
      <c r="AH10" s="50">
        <v>1</v>
      </c>
      <c r="AI10" s="50">
        <f t="shared" si="5"/>
        <v>2</v>
      </c>
      <c r="AJ10" s="50" t="s">
        <v>252</v>
      </c>
      <c r="AK10" s="57" t="s">
        <v>250</v>
      </c>
      <c r="AM10" s="50"/>
      <c r="AN10" s="59" t="s">
        <v>52</v>
      </c>
      <c r="AO10" s="1">
        <v>4</v>
      </c>
      <c r="AP10" s="56">
        <v>45474</v>
      </c>
      <c r="AQ10" s="50">
        <v>0</v>
      </c>
      <c r="AR10" s="50">
        <v>0</v>
      </c>
      <c r="AS10" s="50">
        <f t="shared" si="6"/>
        <v>0</v>
      </c>
      <c r="AT10" s="50" t="s">
        <v>250</v>
      </c>
      <c r="AU10" s="57" t="s">
        <v>250</v>
      </c>
      <c r="AW10" s="50"/>
      <c r="AX10" s="59" t="s">
        <v>52</v>
      </c>
      <c r="AY10" s="1">
        <v>5</v>
      </c>
      <c r="AZ10" s="56">
        <v>45481</v>
      </c>
      <c r="BA10" s="50">
        <v>0</v>
      </c>
      <c r="BB10" s="50">
        <v>7</v>
      </c>
      <c r="BC10" s="50">
        <f t="shared" ref="BC10:BC66" si="12">SUM(BA10+BB10)</f>
        <v>7</v>
      </c>
      <c r="BD10" s="50" t="s">
        <v>250</v>
      </c>
      <c r="BE10" s="57" t="s">
        <v>250</v>
      </c>
      <c r="BG10" s="50"/>
      <c r="BH10" s="59" t="s">
        <v>52</v>
      </c>
      <c r="BI10" s="1">
        <v>6</v>
      </c>
      <c r="BJ10" s="56">
        <v>45488</v>
      </c>
      <c r="BK10" s="50">
        <v>8</v>
      </c>
      <c r="BL10" s="50">
        <v>2</v>
      </c>
      <c r="BM10" s="50">
        <f t="shared" ref="BM10:BM67" si="13">SUM(BK10+BL10)</f>
        <v>10</v>
      </c>
      <c r="BN10" s="50" t="s">
        <v>252</v>
      </c>
      <c r="BO10" s="57" t="s">
        <v>252</v>
      </c>
      <c r="BQ10" s="50"/>
      <c r="BR10" s="59" t="s">
        <v>52</v>
      </c>
      <c r="BS10" s="1">
        <v>7</v>
      </c>
      <c r="BT10" s="56">
        <v>45495</v>
      </c>
      <c r="BU10" s="50">
        <v>0</v>
      </c>
      <c r="BV10" s="50">
        <v>0</v>
      </c>
      <c r="BW10" s="50">
        <f t="shared" si="7"/>
        <v>0</v>
      </c>
      <c r="BX10" s="50" t="s">
        <v>250</v>
      </c>
      <c r="BY10" s="50" t="s">
        <v>250</v>
      </c>
      <c r="CC10" s="77" t="s">
        <v>52</v>
      </c>
      <c r="CD10" s="78">
        <f t="shared" si="2"/>
        <v>22</v>
      </c>
      <c r="CF10" s="25" t="s">
        <v>54</v>
      </c>
      <c r="CG10" s="25" t="s">
        <v>21</v>
      </c>
      <c r="CH10" s="25" t="s">
        <v>55</v>
      </c>
      <c r="CI10" s="25" t="s">
        <v>56</v>
      </c>
      <c r="CJ10" s="25" t="s">
        <v>57</v>
      </c>
    </row>
    <row r="11" spans="1:88" ht="14.4" x14ac:dyDescent="0.3">
      <c r="A11" s="50" t="s">
        <v>58</v>
      </c>
      <c r="B11" s="50" t="s">
        <v>59</v>
      </c>
      <c r="C11" s="68">
        <v>32.37021</v>
      </c>
      <c r="D11" s="68">
        <v>-83.541529999999995</v>
      </c>
      <c r="E11" s="70">
        <v>45428</v>
      </c>
      <c r="F11" s="70">
        <v>45446</v>
      </c>
      <c r="G11" s="67">
        <v>45501</v>
      </c>
      <c r="H11" s="1" t="s">
        <v>25</v>
      </c>
      <c r="I11" s="1" t="s">
        <v>26</v>
      </c>
      <c r="J11" s="59" t="s">
        <v>58</v>
      </c>
      <c r="K11" s="6">
        <v>1</v>
      </c>
      <c r="L11" s="56">
        <v>45453</v>
      </c>
      <c r="M11" s="50">
        <v>0</v>
      </c>
      <c r="N11" s="50">
        <v>0</v>
      </c>
      <c r="O11" s="50">
        <f t="shared" si="3"/>
        <v>0</v>
      </c>
      <c r="P11" s="50" t="s">
        <v>250</v>
      </c>
      <c r="Q11" s="57" t="s">
        <v>250</v>
      </c>
      <c r="T11" s="59" t="s">
        <v>58</v>
      </c>
      <c r="U11" s="6">
        <v>2</v>
      </c>
      <c r="V11" s="56">
        <v>45460</v>
      </c>
      <c r="W11" s="50">
        <v>0</v>
      </c>
      <c r="X11" s="50">
        <v>0</v>
      </c>
      <c r="Y11" s="50">
        <f>SUM(W11+X11)</f>
        <v>0</v>
      </c>
      <c r="Z11" s="50" t="s">
        <v>250</v>
      </c>
      <c r="AA11" s="57" t="s">
        <v>250</v>
      </c>
      <c r="AC11" s="50"/>
      <c r="AD11" s="59" t="s">
        <v>58</v>
      </c>
      <c r="AE11" s="1">
        <v>3</v>
      </c>
      <c r="AF11" s="56">
        <v>45467</v>
      </c>
      <c r="AG11" s="50">
        <v>1</v>
      </c>
      <c r="AH11" s="50">
        <v>1</v>
      </c>
      <c r="AI11" s="50">
        <f t="shared" si="5"/>
        <v>2</v>
      </c>
      <c r="AJ11" s="50" t="s">
        <v>252</v>
      </c>
      <c r="AK11" s="57" t="s">
        <v>250</v>
      </c>
      <c r="AM11" s="50"/>
      <c r="AN11" s="59" t="s">
        <v>58</v>
      </c>
      <c r="AO11" s="1">
        <v>4</v>
      </c>
      <c r="AP11" s="56">
        <v>45474</v>
      </c>
      <c r="AQ11" s="50">
        <v>0</v>
      </c>
      <c r="AR11" s="50">
        <v>0</v>
      </c>
      <c r="AS11" s="50">
        <f t="shared" ref="AS11:AS14" si="14">SUM(AQ11+AR11)</f>
        <v>0</v>
      </c>
      <c r="AT11" s="50" t="s">
        <v>250</v>
      </c>
      <c r="AU11" s="57" t="s">
        <v>250</v>
      </c>
      <c r="AW11" s="50"/>
      <c r="AX11" s="59" t="s">
        <v>58</v>
      </c>
      <c r="AY11" s="1">
        <v>5</v>
      </c>
      <c r="AZ11" s="56">
        <v>45481</v>
      </c>
      <c r="BA11" s="50">
        <v>0</v>
      </c>
      <c r="BB11" s="50">
        <v>0</v>
      </c>
      <c r="BC11" s="50">
        <f t="shared" ref="BC11" si="15">SUM(BA11+BB11)</f>
        <v>0</v>
      </c>
      <c r="BD11" s="50" t="s">
        <v>250</v>
      </c>
      <c r="BE11" s="57" t="s">
        <v>250</v>
      </c>
      <c r="BG11" s="50"/>
      <c r="BH11" s="59" t="s">
        <v>58</v>
      </c>
      <c r="BI11" s="1">
        <v>6</v>
      </c>
      <c r="BJ11" s="56">
        <v>45488</v>
      </c>
      <c r="BK11" s="50">
        <v>0</v>
      </c>
      <c r="BL11" s="50">
        <v>0</v>
      </c>
      <c r="BM11" s="50">
        <f t="shared" si="13"/>
        <v>0</v>
      </c>
      <c r="BN11" s="50" t="s">
        <v>250</v>
      </c>
      <c r="BO11" s="57" t="s">
        <v>250</v>
      </c>
      <c r="BQ11" s="50"/>
      <c r="BR11" s="59" t="s">
        <v>58</v>
      </c>
      <c r="BS11" s="1">
        <v>7</v>
      </c>
      <c r="BT11" s="56">
        <v>45495</v>
      </c>
      <c r="BU11" s="50">
        <v>0</v>
      </c>
      <c r="BV11" s="50">
        <v>0</v>
      </c>
      <c r="BW11" s="50">
        <f t="shared" ref="BW11:BW13" si="16">SUM(BU11+BV11)</f>
        <v>0</v>
      </c>
      <c r="BX11" s="50" t="s">
        <v>250</v>
      </c>
      <c r="BY11" s="50" t="s">
        <v>250</v>
      </c>
      <c r="CC11" s="77" t="s">
        <v>58</v>
      </c>
      <c r="CD11" s="78">
        <f t="shared" si="2"/>
        <v>2</v>
      </c>
      <c r="CF11" s="28" t="s">
        <v>60</v>
      </c>
      <c r="CG11" s="29">
        <f>SUM(CD20:CD21)</f>
        <v>5</v>
      </c>
      <c r="CH11" s="29">
        <f>COUNTIF(CD20:CD21,"&lt;&gt;")</f>
        <v>2</v>
      </c>
      <c r="CI11" s="29">
        <f>COUNTIF(CD20:CD21,"&gt;0")</f>
        <v>2</v>
      </c>
      <c r="CJ11" s="41">
        <f t="shared" ref="CJ11:CJ21" si="17">(CI11/CH11)*100</f>
        <v>100</v>
      </c>
    </row>
    <row r="12" spans="1:88" ht="14.4" x14ac:dyDescent="0.3">
      <c r="A12" s="50" t="s">
        <v>61</v>
      </c>
      <c r="B12" s="50" t="s">
        <v>53</v>
      </c>
      <c r="C12" s="68">
        <v>32.387450000000001</v>
      </c>
      <c r="D12" s="68">
        <v>-83.578770000000006</v>
      </c>
      <c r="E12" s="70">
        <v>45424</v>
      </c>
      <c r="F12" s="70">
        <v>45446</v>
      </c>
      <c r="G12" s="67">
        <v>45501</v>
      </c>
      <c r="H12" s="1" t="s">
        <v>25</v>
      </c>
      <c r="I12" s="1" t="s">
        <v>26</v>
      </c>
      <c r="J12" s="59" t="s">
        <v>61</v>
      </c>
      <c r="K12" s="6">
        <v>1</v>
      </c>
      <c r="L12" s="56">
        <v>45453</v>
      </c>
      <c r="M12" s="50">
        <v>0</v>
      </c>
      <c r="N12" s="50">
        <v>0</v>
      </c>
      <c r="O12" s="50">
        <f t="shared" si="3"/>
        <v>0</v>
      </c>
      <c r="P12" s="50" t="s">
        <v>250</v>
      </c>
      <c r="Q12" s="57" t="s">
        <v>250</v>
      </c>
      <c r="T12" s="59" t="s">
        <v>61</v>
      </c>
      <c r="U12" s="6">
        <v>2</v>
      </c>
      <c r="V12" s="56">
        <v>45460</v>
      </c>
      <c r="W12" s="50">
        <v>0</v>
      </c>
      <c r="X12" s="50">
        <v>0</v>
      </c>
      <c r="Y12" s="50">
        <f>SUM(W12+X12)</f>
        <v>0</v>
      </c>
      <c r="Z12" s="50" t="s">
        <v>250</v>
      </c>
      <c r="AA12" s="57" t="s">
        <v>250</v>
      </c>
      <c r="AC12" s="50"/>
      <c r="AD12" s="59" t="s">
        <v>61</v>
      </c>
      <c r="AE12" s="1">
        <v>3</v>
      </c>
      <c r="AF12" s="56">
        <v>45467</v>
      </c>
      <c r="AG12" s="50">
        <v>8</v>
      </c>
      <c r="AH12" s="50">
        <v>9</v>
      </c>
      <c r="AI12" s="50">
        <f t="shared" si="5"/>
        <v>17</v>
      </c>
      <c r="AJ12" s="50" t="s">
        <v>252</v>
      </c>
      <c r="AK12" s="57" t="s">
        <v>252</v>
      </c>
      <c r="AM12" s="50"/>
      <c r="AN12" s="59" t="s">
        <v>61</v>
      </c>
      <c r="AO12" s="1">
        <v>4</v>
      </c>
      <c r="AP12" s="56">
        <v>45474</v>
      </c>
      <c r="AQ12" s="50">
        <v>0</v>
      </c>
      <c r="AR12" s="50">
        <v>0</v>
      </c>
      <c r="AS12" s="50">
        <f t="shared" si="14"/>
        <v>0</v>
      </c>
      <c r="AT12" s="50" t="s">
        <v>250</v>
      </c>
      <c r="AU12" s="57" t="s">
        <v>250</v>
      </c>
      <c r="AW12" s="50"/>
      <c r="AX12" s="59" t="s">
        <v>61</v>
      </c>
      <c r="AY12" s="1">
        <v>5</v>
      </c>
      <c r="AZ12" s="56">
        <v>45481</v>
      </c>
      <c r="BA12" s="50">
        <v>0</v>
      </c>
      <c r="BB12" s="50">
        <v>0</v>
      </c>
      <c r="BC12" s="50">
        <f t="shared" si="12"/>
        <v>0</v>
      </c>
      <c r="BD12" s="50" t="s">
        <v>250</v>
      </c>
      <c r="BE12" s="57" t="s">
        <v>250</v>
      </c>
      <c r="BG12" s="50"/>
      <c r="BH12" s="59" t="s">
        <v>61</v>
      </c>
      <c r="BI12" s="1">
        <v>6</v>
      </c>
      <c r="BJ12" s="56">
        <v>45488</v>
      </c>
      <c r="BK12" s="50">
        <v>0</v>
      </c>
      <c r="BL12" s="50">
        <v>0</v>
      </c>
      <c r="BM12" s="50">
        <f t="shared" si="13"/>
        <v>0</v>
      </c>
      <c r="BN12" s="50" t="s">
        <v>250</v>
      </c>
      <c r="BO12" s="57" t="s">
        <v>250</v>
      </c>
      <c r="BQ12" s="50"/>
      <c r="BR12" s="59" t="s">
        <v>61</v>
      </c>
      <c r="BS12" s="1">
        <v>7</v>
      </c>
      <c r="BT12" s="56">
        <v>45495</v>
      </c>
      <c r="BU12" s="50">
        <v>0</v>
      </c>
      <c r="BV12" s="50">
        <v>0</v>
      </c>
      <c r="BW12" s="50">
        <f t="shared" si="16"/>
        <v>0</v>
      </c>
      <c r="BX12" s="50" t="s">
        <v>250</v>
      </c>
      <c r="BY12" s="50" t="s">
        <v>250</v>
      </c>
      <c r="CC12" s="77" t="s">
        <v>61</v>
      </c>
      <c r="CD12" s="78">
        <f t="shared" si="2"/>
        <v>17</v>
      </c>
      <c r="CF12" s="28" t="s">
        <v>62</v>
      </c>
      <c r="CG12" s="29">
        <f>SUM(CD110:CD111)</f>
        <v>36</v>
      </c>
      <c r="CH12" s="29">
        <f>COUNTIF(CD110:CD111,"&lt;&gt;")</f>
        <v>2</v>
      </c>
      <c r="CI12" s="29">
        <f>COUNTIF(CD110:CD111,"&gt;0")</f>
        <v>2</v>
      </c>
      <c r="CJ12" s="41">
        <f t="shared" si="17"/>
        <v>100</v>
      </c>
    </row>
    <row r="13" spans="1:88" ht="14.4" x14ac:dyDescent="0.3">
      <c r="A13" s="50" t="s">
        <v>63</v>
      </c>
      <c r="B13" s="50" t="s">
        <v>53</v>
      </c>
      <c r="C13" s="68">
        <v>32.390729999999998</v>
      </c>
      <c r="D13" s="68">
        <v>-83.568280000000001</v>
      </c>
      <c r="E13" s="70">
        <v>45424</v>
      </c>
      <c r="F13" s="70">
        <v>45446</v>
      </c>
      <c r="G13" s="67">
        <v>45501</v>
      </c>
      <c r="H13" s="1" t="s">
        <v>25</v>
      </c>
      <c r="I13" s="1" t="s">
        <v>26</v>
      </c>
      <c r="J13" s="59" t="s">
        <v>63</v>
      </c>
      <c r="K13" s="6">
        <v>1</v>
      </c>
      <c r="L13" s="56">
        <v>45453</v>
      </c>
      <c r="M13" s="50">
        <v>7</v>
      </c>
      <c r="N13" s="50">
        <v>0</v>
      </c>
      <c r="O13" s="50">
        <f t="shared" si="3"/>
        <v>7</v>
      </c>
      <c r="P13" s="50" t="s">
        <v>250</v>
      </c>
      <c r="Q13" s="57" t="s">
        <v>250</v>
      </c>
      <c r="R13" s="57" t="s">
        <v>251</v>
      </c>
      <c r="T13" s="59" t="s">
        <v>63</v>
      </c>
      <c r="U13" s="6">
        <v>2</v>
      </c>
      <c r="V13" s="56">
        <v>45460</v>
      </c>
      <c r="W13" s="50">
        <v>1</v>
      </c>
      <c r="X13" s="50">
        <v>1</v>
      </c>
      <c r="Y13" s="50">
        <f t="shared" si="4"/>
        <v>2</v>
      </c>
      <c r="Z13" s="50" t="s">
        <v>261</v>
      </c>
      <c r="AA13" s="57" t="s">
        <v>250</v>
      </c>
      <c r="AB13" s="50" t="s">
        <v>278</v>
      </c>
      <c r="AC13" s="50"/>
      <c r="AD13" s="59" t="s">
        <v>63</v>
      </c>
      <c r="AE13" s="1">
        <v>3</v>
      </c>
      <c r="AF13" s="56">
        <v>45467</v>
      </c>
      <c r="AG13" s="50">
        <v>12</v>
      </c>
      <c r="AH13" s="50">
        <v>2</v>
      </c>
      <c r="AI13" s="50">
        <f t="shared" si="5"/>
        <v>14</v>
      </c>
      <c r="AJ13" s="50" t="s">
        <v>252</v>
      </c>
      <c r="AK13" s="57" t="s">
        <v>252</v>
      </c>
      <c r="AM13" s="50"/>
      <c r="AN13" s="59" t="s">
        <v>63</v>
      </c>
      <c r="AO13" s="1">
        <v>4</v>
      </c>
      <c r="AP13" s="56">
        <v>45474</v>
      </c>
      <c r="AQ13" s="50">
        <v>0</v>
      </c>
      <c r="AR13" s="50">
        <v>0</v>
      </c>
      <c r="AS13" s="50">
        <f t="shared" si="14"/>
        <v>0</v>
      </c>
      <c r="AT13" s="50" t="s">
        <v>250</v>
      </c>
      <c r="AU13" s="57" t="s">
        <v>250</v>
      </c>
      <c r="AW13" s="50"/>
      <c r="AX13" s="59" t="s">
        <v>63</v>
      </c>
      <c r="AY13" s="1">
        <v>5</v>
      </c>
      <c r="AZ13" s="56">
        <v>45481</v>
      </c>
      <c r="BA13" s="50">
        <v>0</v>
      </c>
      <c r="BB13" s="50">
        <v>0</v>
      </c>
      <c r="BC13" s="50">
        <f t="shared" ref="BC13:BC14" si="18">SUM(BA13+BB13)</f>
        <v>0</v>
      </c>
      <c r="BD13" s="50" t="s">
        <v>250</v>
      </c>
      <c r="BE13" s="57" t="s">
        <v>250</v>
      </c>
      <c r="BG13" s="50"/>
      <c r="BH13" s="59" t="s">
        <v>63</v>
      </c>
      <c r="BI13" s="1">
        <v>6</v>
      </c>
      <c r="BJ13" s="56">
        <v>45488</v>
      </c>
      <c r="BK13" s="50">
        <v>1</v>
      </c>
      <c r="BL13" s="50">
        <v>0</v>
      </c>
      <c r="BM13" s="50">
        <f t="shared" ref="BM13:BM14" si="19">SUM(BK13+BL13)</f>
        <v>1</v>
      </c>
      <c r="BN13" s="50" t="s">
        <v>261</v>
      </c>
      <c r="BO13" s="57" t="s">
        <v>250</v>
      </c>
      <c r="BQ13" s="50"/>
      <c r="BR13" s="59" t="s">
        <v>63</v>
      </c>
      <c r="BS13" s="1">
        <v>7</v>
      </c>
      <c r="BT13" s="56">
        <v>45495</v>
      </c>
      <c r="BU13" s="50">
        <v>9</v>
      </c>
      <c r="BV13" s="50">
        <v>1</v>
      </c>
      <c r="BW13" s="50">
        <f t="shared" si="16"/>
        <v>10</v>
      </c>
      <c r="BX13" s="50" t="s">
        <v>252</v>
      </c>
      <c r="BY13" s="50" t="s">
        <v>250</v>
      </c>
      <c r="CC13" s="77" t="s">
        <v>63</v>
      </c>
      <c r="CD13" s="78">
        <f t="shared" si="2"/>
        <v>34</v>
      </c>
      <c r="CF13" s="28" t="s">
        <v>66</v>
      </c>
      <c r="CG13" s="29">
        <f>SUM(CD84)</f>
        <v>33</v>
      </c>
      <c r="CH13" s="29">
        <f>COUNTIF(CD84,"&lt;&gt;")</f>
        <v>1</v>
      </c>
      <c r="CI13" s="29">
        <f>COUNTIF(CD84,"&gt;0")</f>
        <v>1</v>
      </c>
      <c r="CJ13" s="41">
        <f t="shared" si="17"/>
        <v>100</v>
      </c>
    </row>
    <row r="14" spans="1:88" ht="14.4" x14ac:dyDescent="0.3">
      <c r="A14" s="50" t="s">
        <v>67</v>
      </c>
      <c r="B14" s="50" t="s">
        <v>59</v>
      </c>
      <c r="C14" s="68">
        <v>32.385599999999997</v>
      </c>
      <c r="D14" s="68">
        <v>-83.552660000000003</v>
      </c>
      <c r="E14" s="70">
        <v>45424</v>
      </c>
      <c r="F14" s="70">
        <v>45446</v>
      </c>
      <c r="G14" s="67">
        <v>45501</v>
      </c>
      <c r="H14" s="1" t="s">
        <v>25</v>
      </c>
      <c r="I14" s="1" t="s">
        <v>26</v>
      </c>
      <c r="J14" s="59" t="s">
        <v>67</v>
      </c>
      <c r="K14" s="6">
        <v>1</v>
      </c>
      <c r="L14" s="56">
        <v>45453</v>
      </c>
      <c r="M14" s="50">
        <v>0</v>
      </c>
      <c r="N14" s="50">
        <v>0</v>
      </c>
      <c r="O14" s="50">
        <f t="shared" si="3"/>
        <v>0</v>
      </c>
      <c r="P14" s="50" t="s">
        <v>250</v>
      </c>
      <c r="Q14" s="57" t="s">
        <v>250</v>
      </c>
      <c r="T14" s="59" t="s">
        <v>67</v>
      </c>
      <c r="U14" s="6">
        <v>2</v>
      </c>
      <c r="V14" s="56">
        <v>45460</v>
      </c>
      <c r="W14" s="50">
        <v>0</v>
      </c>
      <c r="X14" s="50">
        <v>0</v>
      </c>
      <c r="Y14" s="50">
        <f t="shared" si="4"/>
        <v>0</v>
      </c>
      <c r="Z14" s="50" t="s">
        <v>250</v>
      </c>
      <c r="AA14" s="57" t="s">
        <v>250</v>
      </c>
      <c r="AC14" s="50"/>
      <c r="AD14" s="59" t="s">
        <v>67</v>
      </c>
      <c r="AE14" s="1">
        <v>3</v>
      </c>
      <c r="AF14" s="56">
        <v>45467</v>
      </c>
      <c r="AG14" s="50">
        <v>0</v>
      </c>
      <c r="AH14" s="50">
        <v>0</v>
      </c>
      <c r="AI14" s="50">
        <f t="shared" si="5"/>
        <v>0</v>
      </c>
      <c r="AJ14" s="50" t="s">
        <v>250</v>
      </c>
      <c r="AK14" s="57" t="s">
        <v>250</v>
      </c>
      <c r="AM14" s="50"/>
      <c r="AN14" s="59" t="s">
        <v>67</v>
      </c>
      <c r="AO14" s="1">
        <v>4</v>
      </c>
      <c r="AP14" s="56">
        <v>45474</v>
      </c>
      <c r="AQ14" s="50">
        <v>0</v>
      </c>
      <c r="AR14" s="50">
        <v>0</v>
      </c>
      <c r="AS14" s="50">
        <f t="shared" si="14"/>
        <v>0</v>
      </c>
      <c r="AT14" s="50" t="s">
        <v>250</v>
      </c>
      <c r="AU14" s="57" t="s">
        <v>250</v>
      </c>
      <c r="AW14" s="50"/>
      <c r="AX14" s="59" t="s">
        <v>67</v>
      </c>
      <c r="AY14" s="1">
        <v>5</v>
      </c>
      <c r="AZ14" s="56">
        <v>45481</v>
      </c>
      <c r="BA14" s="50">
        <v>0</v>
      </c>
      <c r="BB14" s="50">
        <v>0</v>
      </c>
      <c r="BC14" s="50">
        <f t="shared" si="18"/>
        <v>0</v>
      </c>
      <c r="BD14" s="50" t="s">
        <v>250</v>
      </c>
      <c r="BE14" s="57" t="s">
        <v>250</v>
      </c>
      <c r="BG14" s="50"/>
      <c r="BH14" s="59" t="s">
        <v>67</v>
      </c>
      <c r="BI14" s="1">
        <v>6</v>
      </c>
      <c r="BJ14" s="56">
        <v>45488</v>
      </c>
      <c r="BK14" s="50">
        <v>0</v>
      </c>
      <c r="BL14" s="50">
        <v>0</v>
      </c>
      <c r="BM14" s="50">
        <f t="shared" si="19"/>
        <v>0</v>
      </c>
      <c r="BN14" s="50" t="s">
        <v>250</v>
      </c>
      <c r="BO14" s="57" t="s">
        <v>250</v>
      </c>
      <c r="BQ14" s="50"/>
      <c r="BR14" s="59" t="s">
        <v>67</v>
      </c>
      <c r="BS14" s="1">
        <v>7</v>
      </c>
      <c r="BT14" s="56">
        <v>45495</v>
      </c>
      <c r="BU14" s="50">
        <v>0</v>
      </c>
      <c r="BV14" s="50">
        <v>0</v>
      </c>
      <c r="BW14" s="50">
        <f t="shared" ref="BW14:BW15" si="20">SUM(BU14+BV14)</f>
        <v>0</v>
      </c>
      <c r="BX14" s="50" t="s">
        <v>250</v>
      </c>
      <c r="BY14" s="50" t="s">
        <v>250</v>
      </c>
      <c r="CC14" s="77" t="s">
        <v>67</v>
      </c>
      <c r="CD14" s="78">
        <f t="shared" si="2"/>
        <v>0</v>
      </c>
      <c r="CF14" s="28" t="s">
        <v>24</v>
      </c>
      <c r="CG14" s="29">
        <f>SUM(CD2:CD9)</f>
        <v>108</v>
      </c>
      <c r="CH14" s="29">
        <f>COUNTIF(CD2:CD9,"&lt;&gt;")</f>
        <v>8</v>
      </c>
      <c r="CI14" s="29">
        <f>COUNTIF(CD2:CD9,"&gt;0")</f>
        <v>8</v>
      </c>
      <c r="CJ14" s="41">
        <f t="shared" si="17"/>
        <v>100</v>
      </c>
    </row>
    <row r="15" spans="1:88" ht="14.4" x14ac:dyDescent="0.3">
      <c r="A15" s="50" t="s">
        <v>68</v>
      </c>
      <c r="B15" s="50" t="s">
        <v>59</v>
      </c>
      <c r="C15" s="68">
        <v>32.390549999999998</v>
      </c>
      <c r="D15" s="68">
        <v>-83.536420000000007</v>
      </c>
      <c r="E15" s="70">
        <v>45428</v>
      </c>
      <c r="F15" s="70">
        <v>45447</v>
      </c>
      <c r="G15" s="67">
        <v>45496</v>
      </c>
      <c r="H15" s="1" t="s">
        <v>25</v>
      </c>
      <c r="I15" s="1" t="s">
        <v>26</v>
      </c>
      <c r="J15" s="59" t="s">
        <v>68</v>
      </c>
      <c r="K15" s="6">
        <v>1</v>
      </c>
      <c r="L15" s="56">
        <v>45454</v>
      </c>
      <c r="M15" s="50">
        <v>2</v>
      </c>
      <c r="N15" s="50">
        <v>1</v>
      </c>
      <c r="O15" s="50">
        <f t="shared" si="3"/>
        <v>3</v>
      </c>
      <c r="P15" s="50" t="s">
        <v>250</v>
      </c>
      <c r="Q15" s="57" t="s">
        <v>250</v>
      </c>
      <c r="R15" s="57" t="s">
        <v>258</v>
      </c>
      <c r="T15" s="59" t="s">
        <v>68</v>
      </c>
      <c r="U15" s="6">
        <v>2</v>
      </c>
      <c r="V15" s="56">
        <v>45461</v>
      </c>
      <c r="W15" s="50">
        <v>9</v>
      </c>
      <c r="X15" s="50">
        <v>2</v>
      </c>
      <c r="Y15" s="50">
        <f t="shared" si="4"/>
        <v>11</v>
      </c>
      <c r="Z15" s="50" t="s">
        <v>252</v>
      </c>
      <c r="AA15" s="57" t="s">
        <v>252</v>
      </c>
      <c r="AC15" s="50"/>
      <c r="AD15" s="59" t="s">
        <v>68</v>
      </c>
      <c r="AE15" s="1">
        <v>3</v>
      </c>
      <c r="AF15" s="56">
        <v>45468</v>
      </c>
      <c r="AG15" s="50">
        <v>1</v>
      </c>
      <c r="AH15" s="50">
        <v>0</v>
      </c>
      <c r="AI15" s="50">
        <f t="shared" si="5"/>
        <v>1</v>
      </c>
      <c r="AJ15" s="50" t="s">
        <v>252</v>
      </c>
      <c r="AK15" s="57" t="s">
        <v>250</v>
      </c>
      <c r="AM15" s="50"/>
      <c r="AN15" s="59" t="s">
        <v>68</v>
      </c>
      <c r="AO15" s="1">
        <v>4</v>
      </c>
      <c r="AP15" s="56">
        <v>45475</v>
      </c>
      <c r="AQ15" s="50">
        <v>0</v>
      </c>
      <c r="AR15" s="50">
        <v>0</v>
      </c>
      <c r="AS15" s="50">
        <f t="shared" si="6"/>
        <v>0</v>
      </c>
      <c r="AT15" s="50" t="s">
        <v>250</v>
      </c>
      <c r="AU15" s="57" t="s">
        <v>250</v>
      </c>
      <c r="AW15" s="50"/>
      <c r="AX15" s="59" t="s">
        <v>68</v>
      </c>
      <c r="AY15" s="1">
        <v>5</v>
      </c>
      <c r="AZ15" s="56">
        <v>45482</v>
      </c>
      <c r="BA15" s="50">
        <v>0</v>
      </c>
      <c r="BB15" s="50">
        <v>1</v>
      </c>
      <c r="BC15" s="50">
        <f t="shared" si="12"/>
        <v>1</v>
      </c>
      <c r="BD15" s="50" t="s">
        <v>250</v>
      </c>
      <c r="BE15" s="57" t="s">
        <v>250</v>
      </c>
      <c r="BG15" s="50"/>
      <c r="BH15" s="59" t="s">
        <v>68</v>
      </c>
      <c r="BI15" s="1">
        <v>6</v>
      </c>
      <c r="BJ15" s="56">
        <v>45489</v>
      </c>
      <c r="BK15" s="50">
        <v>0</v>
      </c>
      <c r="BL15" s="50">
        <v>0</v>
      </c>
      <c r="BM15" s="50">
        <f>SUM(BK15+BL15)</f>
        <v>0</v>
      </c>
      <c r="BN15" s="50" t="s">
        <v>250</v>
      </c>
      <c r="BO15" s="57" t="s">
        <v>250</v>
      </c>
      <c r="BQ15" s="50"/>
      <c r="BR15" s="59" t="s">
        <v>68</v>
      </c>
      <c r="BS15" s="1">
        <v>7</v>
      </c>
      <c r="BT15" s="56">
        <v>45496</v>
      </c>
      <c r="BU15" s="50">
        <v>0</v>
      </c>
      <c r="BV15" s="50">
        <v>0</v>
      </c>
      <c r="BW15" s="50">
        <f t="shared" si="20"/>
        <v>0</v>
      </c>
      <c r="BX15" s="50" t="s">
        <v>250</v>
      </c>
      <c r="BY15" s="50" t="s">
        <v>250</v>
      </c>
      <c r="CC15" s="77" t="s">
        <v>68</v>
      </c>
      <c r="CD15" s="78">
        <f t="shared" si="2"/>
        <v>16</v>
      </c>
      <c r="CF15" s="28" t="s">
        <v>69</v>
      </c>
      <c r="CG15" s="29">
        <f>SUM(CD102:CD107)</f>
        <v>84</v>
      </c>
      <c r="CH15" s="81">
        <f>COUNTIF(CD102:CD107,"&lt;&gt;")</f>
        <v>6</v>
      </c>
      <c r="CI15" s="29">
        <f>COUNTIF(CD102:CD107,"&gt;0")</f>
        <v>4</v>
      </c>
      <c r="CJ15" s="41">
        <f t="shared" si="17"/>
        <v>66.666666666666657</v>
      </c>
    </row>
    <row r="16" spans="1:88" ht="14.4" x14ac:dyDescent="0.3">
      <c r="A16" s="50" t="s">
        <v>70</v>
      </c>
      <c r="B16" s="50" t="s">
        <v>71</v>
      </c>
      <c r="C16" s="68">
        <v>32.400230000000001</v>
      </c>
      <c r="D16" s="68">
        <v>-83.557609999999997</v>
      </c>
      <c r="E16" s="70">
        <v>45427</v>
      </c>
      <c r="F16" s="70">
        <v>45446</v>
      </c>
      <c r="G16" s="67">
        <v>45495</v>
      </c>
      <c r="H16" s="1" t="s">
        <v>25</v>
      </c>
      <c r="I16" s="1" t="s">
        <v>26</v>
      </c>
      <c r="J16" s="59" t="s">
        <v>70</v>
      </c>
      <c r="K16" s="6">
        <v>1</v>
      </c>
      <c r="L16" s="56">
        <v>45453</v>
      </c>
      <c r="M16" s="50">
        <v>0</v>
      </c>
      <c r="N16" s="50">
        <v>0</v>
      </c>
      <c r="O16" s="50">
        <f t="shared" si="3"/>
        <v>0</v>
      </c>
      <c r="P16" s="50" t="s">
        <v>250</v>
      </c>
      <c r="Q16" s="57" t="s">
        <v>250</v>
      </c>
      <c r="T16" s="59" t="s">
        <v>70</v>
      </c>
      <c r="U16" s="6">
        <v>2</v>
      </c>
      <c r="V16" s="56">
        <v>45460</v>
      </c>
      <c r="W16" s="50">
        <v>0</v>
      </c>
      <c r="X16" s="50">
        <v>0</v>
      </c>
      <c r="Y16" s="50">
        <f t="shared" si="4"/>
        <v>0</v>
      </c>
      <c r="Z16" s="50" t="s">
        <v>250</v>
      </c>
      <c r="AA16" s="57" t="s">
        <v>250</v>
      </c>
      <c r="AC16" s="50"/>
      <c r="AD16" s="59" t="s">
        <v>70</v>
      </c>
      <c r="AE16" s="1">
        <v>3</v>
      </c>
      <c r="AF16" s="56">
        <v>45467</v>
      </c>
      <c r="AG16" s="50">
        <v>0</v>
      </c>
      <c r="AH16" s="50">
        <v>0</v>
      </c>
      <c r="AI16" s="50">
        <f t="shared" si="5"/>
        <v>0</v>
      </c>
      <c r="AJ16" s="50" t="s">
        <v>250</v>
      </c>
      <c r="AK16" s="57" t="s">
        <v>250</v>
      </c>
      <c r="AM16" s="50"/>
      <c r="AN16" s="59" t="s">
        <v>70</v>
      </c>
      <c r="AO16" s="1">
        <v>4</v>
      </c>
      <c r="AP16" s="56">
        <v>45474</v>
      </c>
      <c r="AQ16" s="50">
        <v>0</v>
      </c>
      <c r="AR16" s="50">
        <v>0</v>
      </c>
      <c r="AS16" s="50">
        <f t="shared" ref="AS16" si="21">SUM(AQ16+AR16)</f>
        <v>0</v>
      </c>
      <c r="AT16" s="50" t="s">
        <v>250</v>
      </c>
      <c r="AU16" s="57" t="s">
        <v>250</v>
      </c>
      <c r="AW16" s="50"/>
      <c r="AX16" s="59" t="s">
        <v>70</v>
      </c>
      <c r="AY16" s="1">
        <v>5</v>
      </c>
      <c r="AZ16" s="56">
        <v>45481</v>
      </c>
      <c r="BA16" s="50">
        <v>0</v>
      </c>
      <c r="BB16" s="50">
        <v>0</v>
      </c>
      <c r="BC16" s="50">
        <f t="shared" ref="BC16" si="22">SUM(BA16+BB16)</f>
        <v>0</v>
      </c>
      <c r="BD16" s="50" t="s">
        <v>250</v>
      </c>
      <c r="BE16" s="57" t="s">
        <v>250</v>
      </c>
      <c r="BG16" s="50"/>
      <c r="BH16" s="59" t="s">
        <v>70</v>
      </c>
      <c r="BI16" s="1">
        <v>6</v>
      </c>
      <c r="BJ16" s="56">
        <v>45488</v>
      </c>
      <c r="BK16" s="50">
        <v>0</v>
      </c>
      <c r="BL16" s="50">
        <v>0</v>
      </c>
      <c r="BM16" s="50">
        <f t="shared" si="13"/>
        <v>0</v>
      </c>
      <c r="BN16" s="50" t="s">
        <v>250</v>
      </c>
      <c r="BO16" s="57" t="s">
        <v>250</v>
      </c>
      <c r="BQ16" s="50"/>
      <c r="BR16" s="59" t="s">
        <v>70</v>
      </c>
      <c r="BS16" s="1">
        <v>7</v>
      </c>
      <c r="BT16" s="56">
        <v>45495</v>
      </c>
      <c r="BU16" s="50">
        <v>0</v>
      </c>
      <c r="BV16" s="50">
        <v>0</v>
      </c>
      <c r="BW16" s="50">
        <f t="shared" ref="BW16" si="23">SUM(BU16+BV16)</f>
        <v>0</v>
      </c>
      <c r="BX16" s="50" t="s">
        <v>250</v>
      </c>
      <c r="BY16" s="50" t="s">
        <v>250</v>
      </c>
      <c r="CC16" s="77" t="s">
        <v>70</v>
      </c>
      <c r="CD16" s="78">
        <f t="shared" si="2"/>
        <v>0</v>
      </c>
      <c r="CF16" s="28" t="s">
        <v>72</v>
      </c>
      <c r="CG16" s="29">
        <f>SUM(CD139:CD141)</f>
        <v>51</v>
      </c>
      <c r="CH16" s="81" cm="1">
        <f t="array" aca="1" ref="CH16" ca="1">SUM(COUNTIF(INDIRECT({"CD139:CD141"}),"&lt;&gt;"))</f>
        <v>3</v>
      </c>
      <c r="CI16" s="81" cm="1">
        <f t="array" aca="1" ref="CI16" ca="1">SUM(COUNTIF(INDIRECT({"CD139:CD141"}),"&gt;0"))</f>
        <v>2</v>
      </c>
      <c r="CJ16" s="41">
        <f t="shared" ca="1" si="17"/>
        <v>66.666666666666657</v>
      </c>
    </row>
    <row r="17" spans="1:88" ht="14.4" x14ac:dyDescent="0.3">
      <c r="A17" s="50" t="s">
        <v>73</v>
      </c>
      <c r="B17" s="50" t="s">
        <v>71</v>
      </c>
      <c r="C17" s="68">
        <v>32.397820000000003</v>
      </c>
      <c r="D17" s="68">
        <v>-83.535820000000001</v>
      </c>
      <c r="E17" s="70">
        <v>45428</v>
      </c>
      <c r="F17" s="70">
        <v>45447</v>
      </c>
      <c r="G17" s="67">
        <v>45496</v>
      </c>
      <c r="H17" s="1" t="s">
        <v>25</v>
      </c>
      <c r="I17" s="1" t="s">
        <v>26</v>
      </c>
      <c r="J17" s="59" t="s">
        <v>73</v>
      </c>
      <c r="K17" s="6">
        <v>1</v>
      </c>
      <c r="L17" s="56">
        <v>45454</v>
      </c>
      <c r="M17" s="50">
        <v>0</v>
      </c>
      <c r="N17" s="50">
        <v>1</v>
      </c>
      <c r="O17" s="50">
        <f t="shared" si="3"/>
        <v>1</v>
      </c>
      <c r="P17" s="50" t="s">
        <v>250</v>
      </c>
      <c r="Q17" s="57" t="s">
        <v>250</v>
      </c>
      <c r="R17" s="57" t="s">
        <v>255</v>
      </c>
      <c r="T17" s="59" t="s">
        <v>73</v>
      </c>
      <c r="U17" s="6">
        <v>2</v>
      </c>
      <c r="V17" s="56">
        <v>45461</v>
      </c>
      <c r="W17" s="50">
        <v>0</v>
      </c>
      <c r="X17" s="50">
        <v>1</v>
      </c>
      <c r="Y17" s="50">
        <f t="shared" si="4"/>
        <v>1</v>
      </c>
      <c r="Z17" s="50" t="s">
        <v>250</v>
      </c>
      <c r="AA17" s="57" t="s">
        <v>250</v>
      </c>
      <c r="AB17" s="50" t="s">
        <v>253</v>
      </c>
      <c r="AC17" s="50"/>
      <c r="AD17" s="59" t="s">
        <v>73</v>
      </c>
      <c r="AE17" s="1">
        <v>3</v>
      </c>
      <c r="AF17" s="56">
        <v>45468</v>
      </c>
      <c r="AG17" s="50">
        <v>0</v>
      </c>
      <c r="AH17" s="50">
        <v>0</v>
      </c>
      <c r="AI17" s="50">
        <f t="shared" si="5"/>
        <v>0</v>
      </c>
      <c r="AJ17" s="50" t="s">
        <v>250</v>
      </c>
      <c r="AK17" s="57" t="s">
        <v>250</v>
      </c>
      <c r="AM17" s="50"/>
      <c r="AN17" s="59" t="s">
        <v>73</v>
      </c>
      <c r="AO17" s="1">
        <v>4</v>
      </c>
      <c r="AP17" s="56">
        <v>45475</v>
      </c>
      <c r="AQ17" s="50">
        <v>0</v>
      </c>
      <c r="AR17" s="50">
        <v>0</v>
      </c>
      <c r="AS17" s="50">
        <f t="shared" ref="AS17" si="24">SUM(AQ17+AR17)</f>
        <v>0</v>
      </c>
      <c r="AT17" s="50" t="s">
        <v>250</v>
      </c>
      <c r="AU17" s="57" t="s">
        <v>250</v>
      </c>
      <c r="AW17" s="50"/>
      <c r="AX17" s="59" t="s">
        <v>73</v>
      </c>
      <c r="AY17" s="1">
        <v>5</v>
      </c>
      <c r="AZ17" s="56">
        <v>45482</v>
      </c>
      <c r="BA17" s="50">
        <v>0</v>
      </c>
      <c r="BB17" s="50">
        <v>0</v>
      </c>
      <c r="BC17" s="50">
        <f t="shared" si="12"/>
        <v>0</v>
      </c>
      <c r="BD17" s="50" t="s">
        <v>250</v>
      </c>
      <c r="BE17" s="57" t="s">
        <v>250</v>
      </c>
      <c r="BG17" s="50"/>
      <c r="BH17" s="59" t="s">
        <v>73</v>
      </c>
      <c r="BI17" s="1">
        <v>6</v>
      </c>
      <c r="BJ17" s="56">
        <v>45489</v>
      </c>
      <c r="BK17" s="50">
        <v>0</v>
      </c>
      <c r="BL17" s="50">
        <v>0</v>
      </c>
      <c r="BM17" s="50">
        <f>SUM(BK17+BL17)</f>
        <v>0</v>
      </c>
      <c r="BN17" s="50" t="s">
        <v>250</v>
      </c>
      <c r="BO17" s="57" t="s">
        <v>250</v>
      </c>
      <c r="BQ17" s="50"/>
      <c r="BR17" s="59" t="s">
        <v>73</v>
      </c>
      <c r="BS17" s="1">
        <v>7</v>
      </c>
      <c r="BT17" s="56">
        <v>45496</v>
      </c>
      <c r="BU17" s="50">
        <v>5</v>
      </c>
      <c r="BV17" s="50">
        <v>1</v>
      </c>
      <c r="BW17" s="50">
        <f t="shared" si="7"/>
        <v>6</v>
      </c>
      <c r="BX17" s="50" t="s">
        <v>252</v>
      </c>
      <c r="BY17" s="50" t="s">
        <v>250</v>
      </c>
      <c r="CC17" s="77" t="s">
        <v>73</v>
      </c>
      <c r="CD17" s="78">
        <f t="shared" si="2"/>
        <v>8</v>
      </c>
      <c r="CF17" s="28" t="s">
        <v>53</v>
      </c>
      <c r="CG17" s="29">
        <f>SUM(CD10,CD12:CD13,CD81)</f>
        <v>95</v>
      </c>
      <c r="CH17" s="81" cm="1">
        <f t="array" aca="1" ref="CH17" ca="1">SUM(COUNTIF(INDIRECT({"CD10","CD12:CD13","CD81"}),"&lt;&gt;"))</f>
        <v>4</v>
      </c>
      <c r="CI17" s="29" cm="1">
        <f t="array" aca="1" ref="CI17" ca="1">SUM(COUNTIF(INDIRECT({"CD10","CD12:CD13","CD81"}),"&gt;0"))</f>
        <v>4</v>
      </c>
      <c r="CJ17" s="41">
        <f t="shared" ca="1" si="17"/>
        <v>100</v>
      </c>
    </row>
    <row r="18" spans="1:88" ht="14.4" x14ac:dyDescent="0.3">
      <c r="A18" s="50" t="s">
        <v>74</v>
      </c>
      <c r="B18" s="50" t="s">
        <v>71</v>
      </c>
      <c r="C18" s="68">
        <v>32.404150000000001</v>
      </c>
      <c r="D18" s="68">
        <v>-83.547349999999994</v>
      </c>
      <c r="E18" s="70">
        <v>45428</v>
      </c>
      <c r="F18" s="70">
        <v>45447</v>
      </c>
      <c r="G18" s="67">
        <v>45496</v>
      </c>
      <c r="H18" s="1" t="s">
        <v>25</v>
      </c>
      <c r="I18" s="1" t="s">
        <v>26</v>
      </c>
      <c r="J18" s="59" t="s">
        <v>74</v>
      </c>
      <c r="K18" s="6">
        <v>1</v>
      </c>
      <c r="L18" s="56">
        <v>45454</v>
      </c>
      <c r="M18" s="50">
        <v>1</v>
      </c>
      <c r="N18" s="50">
        <v>11</v>
      </c>
      <c r="O18" s="50">
        <f t="shared" si="3"/>
        <v>12</v>
      </c>
      <c r="P18" s="50" t="s">
        <v>250</v>
      </c>
      <c r="Q18" s="57" t="s">
        <v>250</v>
      </c>
      <c r="R18" s="57" t="s">
        <v>258</v>
      </c>
      <c r="T18" s="59" t="s">
        <v>74</v>
      </c>
      <c r="U18" s="6">
        <v>2</v>
      </c>
      <c r="V18" s="56">
        <v>45461</v>
      </c>
      <c r="W18" s="50">
        <v>1</v>
      </c>
      <c r="X18" s="50">
        <v>0</v>
      </c>
      <c r="Y18" s="50">
        <f t="shared" si="4"/>
        <v>1</v>
      </c>
      <c r="Z18" s="50" t="s">
        <v>250</v>
      </c>
      <c r="AA18" s="57" t="s">
        <v>250</v>
      </c>
      <c r="AB18" s="50" t="s">
        <v>253</v>
      </c>
      <c r="AC18" s="50"/>
      <c r="AD18" s="59" t="s">
        <v>74</v>
      </c>
      <c r="AE18" s="1">
        <v>3</v>
      </c>
      <c r="AF18" s="56">
        <v>45468</v>
      </c>
      <c r="AG18" s="50">
        <v>15</v>
      </c>
      <c r="AH18" s="50">
        <v>1</v>
      </c>
      <c r="AI18" s="50">
        <v>17</v>
      </c>
      <c r="AJ18" s="50" t="s">
        <v>252</v>
      </c>
      <c r="AK18" s="57" t="s">
        <v>252</v>
      </c>
      <c r="AL18" s="50" t="s">
        <v>293</v>
      </c>
      <c r="AM18" s="50"/>
      <c r="AN18" s="59" t="s">
        <v>74</v>
      </c>
      <c r="AO18" s="1">
        <v>4</v>
      </c>
      <c r="AP18" s="56">
        <v>45475</v>
      </c>
      <c r="AQ18" s="50">
        <v>0</v>
      </c>
      <c r="AR18" s="50">
        <v>1</v>
      </c>
      <c r="AS18" s="50">
        <f t="shared" si="6"/>
        <v>1</v>
      </c>
      <c r="AT18" s="50" t="s">
        <v>250</v>
      </c>
      <c r="AU18" s="57" t="s">
        <v>250</v>
      </c>
      <c r="AW18" s="50"/>
      <c r="AX18" s="59" t="s">
        <v>74</v>
      </c>
      <c r="AY18" s="1">
        <v>5</v>
      </c>
      <c r="AZ18" s="56">
        <v>45482</v>
      </c>
      <c r="BA18" s="50">
        <v>0</v>
      </c>
      <c r="BB18" s="50">
        <v>1</v>
      </c>
      <c r="BC18" s="50">
        <f t="shared" si="12"/>
        <v>1</v>
      </c>
      <c r="BD18" s="50" t="s">
        <v>250</v>
      </c>
      <c r="BE18" s="57" t="s">
        <v>250</v>
      </c>
      <c r="BG18" s="50"/>
      <c r="BH18" s="59" t="s">
        <v>74</v>
      </c>
      <c r="BI18" s="1">
        <v>6</v>
      </c>
      <c r="BJ18" s="56">
        <v>45489</v>
      </c>
      <c r="BK18" s="50">
        <v>0</v>
      </c>
      <c r="BL18" s="50">
        <v>1</v>
      </c>
      <c r="BM18" s="50">
        <f>SUM(BK18+BL18)</f>
        <v>1</v>
      </c>
      <c r="BN18" s="50" t="s">
        <v>252</v>
      </c>
      <c r="BO18" s="57" t="s">
        <v>250</v>
      </c>
      <c r="BQ18" s="50"/>
      <c r="BR18" s="59" t="s">
        <v>74</v>
      </c>
      <c r="BS18" s="1">
        <v>7</v>
      </c>
      <c r="BT18" s="56">
        <v>45496</v>
      </c>
      <c r="BU18" s="50">
        <v>0</v>
      </c>
      <c r="BV18" s="50">
        <v>0</v>
      </c>
      <c r="BW18" s="50">
        <f t="shared" si="7"/>
        <v>0</v>
      </c>
      <c r="BX18" s="50" t="s">
        <v>250</v>
      </c>
      <c r="BY18" s="50" t="s">
        <v>250</v>
      </c>
      <c r="CC18" s="77" t="s">
        <v>74</v>
      </c>
      <c r="CD18" s="78">
        <f t="shared" si="2"/>
        <v>33</v>
      </c>
      <c r="CF18" s="28" t="s">
        <v>71</v>
      </c>
      <c r="CG18" s="29">
        <f>SUM(CD16:CD18)</f>
        <v>41</v>
      </c>
      <c r="CH18" s="81">
        <f>COUNTIF(CD16:CD18,"&lt;&gt;")</f>
        <v>3</v>
      </c>
      <c r="CI18" s="29">
        <f>COUNTIF(CD16:CD18,"&gt;0")</f>
        <v>2</v>
      </c>
      <c r="CJ18" s="41">
        <f t="shared" si="17"/>
        <v>66.666666666666657</v>
      </c>
    </row>
    <row r="19" spans="1:88" ht="14.4" x14ac:dyDescent="0.3">
      <c r="A19" s="50" t="s">
        <v>75</v>
      </c>
      <c r="B19" s="50" t="s">
        <v>76</v>
      </c>
      <c r="C19" s="68">
        <v>32.408380000000001</v>
      </c>
      <c r="D19" s="68">
        <v>-83.560509999999994</v>
      </c>
      <c r="E19" s="70">
        <v>45428</v>
      </c>
      <c r="F19" s="70">
        <v>45447</v>
      </c>
      <c r="G19" s="67">
        <v>45496</v>
      </c>
      <c r="H19" s="1" t="s">
        <v>25</v>
      </c>
      <c r="I19" s="1" t="s">
        <v>26</v>
      </c>
      <c r="J19" s="59" t="s">
        <v>75</v>
      </c>
      <c r="K19" s="6">
        <v>1</v>
      </c>
      <c r="L19" s="56">
        <v>45454</v>
      </c>
      <c r="M19" s="50">
        <v>0</v>
      </c>
      <c r="N19" s="50">
        <v>4</v>
      </c>
      <c r="O19" s="50">
        <f t="shared" si="3"/>
        <v>4</v>
      </c>
      <c r="P19" s="50" t="s">
        <v>252</v>
      </c>
      <c r="Q19" s="57" t="s">
        <v>250</v>
      </c>
      <c r="R19" s="57" t="s">
        <v>259</v>
      </c>
      <c r="T19" s="59" t="s">
        <v>75</v>
      </c>
      <c r="U19" s="6">
        <v>2</v>
      </c>
      <c r="V19" s="56">
        <v>45461</v>
      </c>
      <c r="W19" s="50">
        <v>0</v>
      </c>
      <c r="X19" s="50">
        <v>0</v>
      </c>
      <c r="Y19" s="50">
        <f t="shared" si="4"/>
        <v>0</v>
      </c>
      <c r="Z19" s="50" t="s">
        <v>250</v>
      </c>
      <c r="AA19" s="57" t="s">
        <v>250</v>
      </c>
      <c r="AC19" s="50"/>
      <c r="AD19" s="59" t="s">
        <v>75</v>
      </c>
      <c r="AE19" s="1">
        <v>3</v>
      </c>
      <c r="AF19" s="56">
        <v>45468</v>
      </c>
      <c r="AG19" s="50">
        <v>1</v>
      </c>
      <c r="AH19" s="50">
        <v>0</v>
      </c>
      <c r="AI19" s="50">
        <f t="shared" si="5"/>
        <v>1</v>
      </c>
      <c r="AJ19" s="50" t="s">
        <v>261</v>
      </c>
      <c r="AK19" s="57" t="s">
        <v>250</v>
      </c>
      <c r="AM19" s="50"/>
      <c r="AN19" s="59" t="s">
        <v>75</v>
      </c>
      <c r="AO19" s="1">
        <v>4</v>
      </c>
      <c r="AP19" s="56">
        <v>45475</v>
      </c>
      <c r="AQ19" s="50">
        <v>0</v>
      </c>
      <c r="AR19" s="50">
        <v>0</v>
      </c>
      <c r="AS19" s="50">
        <f t="shared" si="6"/>
        <v>0</v>
      </c>
      <c r="AT19" s="50" t="s">
        <v>250</v>
      </c>
      <c r="AU19" s="57" t="s">
        <v>250</v>
      </c>
      <c r="AW19" s="50"/>
      <c r="AX19" s="59" t="s">
        <v>75</v>
      </c>
      <c r="AY19" s="1">
        <v>5</v>
      </c>
      <c r="AZ19" s="56">
        <v>45482</v>
      </c>
      <c r="BA19" s="50">
        <v>0</v>
      </c>
      <c r="BB19" s="50">
        <v>0</v>
      </c>
      <c r="BC19" s="50">
        <f t="shared" ref="BC19" si="25">SUM(BA19+BB19)</f>
        <v>0</v>
      </c>
      <c r="BD19" s="50" t="s">
        <v>250</v>
      </c>
      <c r="BE19" s="57" t="s">
        <v>250</v>
      </c>
      <c r="BG19" s="50"/>
      <c r="BH19" s="59" t="s">
        <v>75</v>
      </c>
      <c r="BI19" s="1">
        <v>6</v>
      </c>
      <c r="BJ19" s="56">
        <v>45489</v>
      </c>
      <c r="BK19" s="50">
        <v>0</v>
      </c>
      <c r="BL19" s="50">
        <v>0</v>
      </c>
      <c r="BM19" s="50">
        <f>SUM(BK19+BL19)</f>
        <v>0</v>
      </c>
      <c r="BN19" s="50" t="s">
        <v>250</v>
      </c>
      <c r="BO19" s="57" t="s">
        <v>250</v>
      </c>
      <c r="BQ19" s="50"/>
      <c r="BR19" s="59" t="s">
        <v>75</v>
      </c>
      <c r="BS19" s="1">
        <v>7</v>
      </c>
      <c r="BT19" s="56">
        <v>45496</v>
      </c>
      <c r="BU19" s="50">
        <v>0</v>
      </c>
      <c r="BV19" s="50">
        <v>0</v>
      </c>
      <c r="BW19" s="50">
        <f t="shared" si="7"/>
        <v>0</v>
      </c>
      <c r="BX19" s="50" t="s">
        <v>250</v>
      </c>
      <c r="BY19" s="50" t="s">
        <v>250</v>
      </c>
      <c r="CC19" s="77" t="s">
        <v>75</v>
      </c>
      <c r="CD19" s="78">
        <f t="shared" si="2"/>
        <v>5</v>
      </c>
      <c r="CF19" s="28" t="s">
        <v>78</v>
      </c>
      <c r="CG19" s="29">
        <f>SUM(CD118:CD120,CD123,CD125,CD128,CD130:CD131,CD134:CD135)</f>
        <v>60</v>
      </c>
      <c r="CH19" s="81" cm="1">
        <f t="array" aca="1" ref="CH19" ca="1">SUM(COUNTIF(INDIRECT({"CD118:CD120","CD123","CD125","CD128","CD130:CD131","CD134:CD135"}),"&lt;&gt;"))</f>
        <v>10</v>
      </c>
      <c r="CI19" s="29" cm="1">
        <f t="array" aca="1" ref="CI19" ca="1">SUM(COUNTIF(INDIRECT({"CD118:CD120","CD123","CD125","CD128","CD130:CD131","CD134:CD135"}),"&gt;0"))</f>
        <v>8</v>
      </c>
      <c r="CJ19" s="41">
        <f t="shared" ca="1" si="17"/>
        <v>80</v>
      </c>
    </row>
    <row r="20" spans="1:88" ht="14.4" x14ac:dyDescent="0.3">
      <c r="A20" s="50" t="s">
        <v>79</v>
      </c>
      <c r="B20" s="50" t="s">
        <v>80</v>
      </c>
      <c r="C20" s="68">
        <v>32.439830000000001</v>
      </c>
      <c r="D20" s="68">
        <v>-83.607609999999994</v>
      </c>
      <c r="E20" s="70">
        <v>45428</v>
      </c>
      <c r="F20" s="70">
        <v>45446</v>
      </c>
      <c r="G20" s="67">
        <v>45495</v>
      </c>
      <c r="H20" s="1" t="s">
        <v>25</v>
      </c>
      <c r="I20" s="1" t="s">
        <v>26</v>
      </c>
      <c r="J20" s="59" t="s">
        <v>79</v>
      </c>
      <c r="K20" s="6">
        <v>1</v>
      </c>
      <c r="L20" s="56">
        <v>45453</v>
      </c>
      <c r="M20" s="50">
        <v>0</v>
      </c>
      <c r="N20" s="50">
        <v>0</v>
      </c>
      <c r="O20" s="50">
        <f t="shared" si="3"/>
        <v>0</v>
      </c>
      <c r="P20" s="50" t="s">
        <v>250</v>
      </c>
      <c r="Q20" s="50" t="s">
        <v>250</v>
      </c>
      <c r="T20" s="59" t="s">
        <v>79</v>
      </c>
      <c r="U20" s="6">
        <v>2</v>
      </c>
      <c r="V20" s="56">
        <v>45460</v>
      </c>
      <c r="W20" s="50">
        <v>0</v>
      </c>
      <c r="X20" s="50">
        <v>0</v>
      </c>
      <c r="Y20" s="50">
        <f t="shared" si="4"/>
        <v>0</v>
      </c>
      <c r="Z20" s="50" t="s">
        <v>250</v>
      </c>
      <c r="AA20" s="57" t="s">
        <v>250</v>
      </c>
      <c r="AC20" s="50"/>
      <c r="AD20" s="59" t="s">
        <v>79</v>
      </c>
      <c r="AE20" s="1">
        <v>3</v>
      </c>
      <c r="AF20" s="56">
        <v>45467</v>
      </c>
      <c r="AG20" s="50">
        <v>0</v>
      </c>
      <c r="AH20" s="50">
        <v>0</v>
      </c>
      <c r="AI20" s="50">
        <f t="shared" ref="AI20:AI21" si="26">SUM(AG20+AH20)</f>
        <v>0</v>
      </c>
      <c r="AJ20" s="50" t="s">
        <v>250</v>
      </c>
      <c r="AK20" s="57" t="s">
        <v>250</v>
      </c>
      <c r="AM20" s="50"/>
      <c r="AN20" s="59" t="s">
        <v>79</v>
      </c>
      <c r="AO20" s="1">
        <v>4</v>
      </c>
      <c r="AP20" s="56">
        <v>45474</v>
      </c>
      <c r="AQ20" s="50">
        <v>0</v>
      </c>
      <c r="AR20" s="50">
        <v>1</v>
      </c>
      <c r="AS20" s="50">
        <f t="shared" ref="AS20:AS21" si="27">SUM(AQ20+AR20)</f>
        <v>1</v>
      </c>
      <c r="AT20" s="50" t="s">
        <v>261</v>
      </c>
      <c r="AU20" s="57" t="s">
        <v>250</v>
      </c>
      <c r="AW20" s="50"/>
      <c r="AX20" s="59" t="s">
        <v>79</v>
      </c>
      <c r="AY20" s="1">
        <v>5</v>
      </c>
      <c r="AZ20" s="56">
        <v>45481</v>
      </c>
      <c r="BA20" s="50">
        <v>0</v>
      </c>
      <c r="BB20" s="50">
        <v>0</v>
      </c>
      <c r="BC20" s="50">
        <f t="shared" ref="BC20" si="28">SUM(BA20+BB20)</f>
        <v>0</v>
      </c>
      <c r="BD20" s="50" t="s">
        <v>250</v>
      </c>
      <c r="BE20" s="57" t="s">
        <v>250</v>
      </c>
      <c r="BG20" s="50"/>
      <c r="BH20" s="59" t="s">
        <v>79</v>
      </c>
      <c r="BI20" s="1">
        <v>6</v>
      </c>
      <c r="BJ20" s="56">
        <v>45488</v>
      </c>
      <c r="BK20" s="50">
        <v>0</v>
      </c>
      <c r="BL20" s="50">
        <v>0</v>
      </c>
      <c r="BM20" s="50">
        <f t="shared" si="13"/>
        <v>0</v>
      </c>
      <c r="BN20" s="50" t="s">
        <v>250</v>
      </c>
      <c r="BO20" s="57" t="s">
        <v>250</v>
      </c>
      <c r="BQ20" s="50"/>
      <c r="BR20" s="59" t="s">
        <v>79</v>
      </c>
      <c r="BS20" s="1">
        <v>7</v>
      </c>
      <c r="BT20" s="56">
        <v>45495</v>
      </c>
      <c r="BU20" s="50">
        <v>0</v>
      </c>
      <c r="BV20" s="50">
        <v>0</v>
      </c>
      <c r="BW20" s="50">
        <f t="shared" si="7"/>
        <v>0</v>
      </c>
      <c r="BX20" s="50" t="s">
        <v>250</v>
      </c>
      <c r="BY20" s="50" t="s">
        <v>250</v>
      </c>
      <c r="CC20" s="77" t="s">
        <v>79</v>
      </c>
      <c r="CD20" s="78">
        <f t="shared" si="2"/>
        <v>1</v>
      </c>
      <c r="CF20" s="28" t="s">
        <v>81</v>
      </c>
      <c r="CG20" s="29">
        <f>SUM(CD11,CD14:CD15,CD22:CD52,CD145)</f>
        <v>1711</v>
      </c>
      <c r="CH20" s="81" cm="1">
        <f t="array" aca="1" ref="CH20" ca="1">SUM(COUNTIF(INDIRECT({"CD11","CD14:CD15","CD22:CD52","CD145"}),"&lt;&gt;"))</f>
        <v>35</v>
      </c>
      <c r="CI20" s="29" cm="1">
        <f t="array" aca="1" ref="CI20" ca="1">SUM(COUNTIF(INDIRECT({"CD11","CD14:CD15","CD22:CD52","CD145"}),"&gt;0"))</f>
        <v>34</v>
      </c>
      <c r="CJ20" s="41">
        <f t="shared" ca="1" si="17"/>
        <v>97.142857142857139</v>
      </c>
    </row>
    <row r="21" spans="1:88" ht="14.4" x14ac:dyDescent="0.3">
      <c r="A21" s="50" t="s">
        <v>82</v>
      </c>
      <c r="B21" s="50" t="s">
        <v>80</v>
      </c>
      <c r="C21" s="68">
        <v>32.445970000000003</v>
      </c>
      <c r="D21" s="68">
        <v>-83.610129999999998</v>
      </c>
      <c r="E21" s="70">
        <v>45428</v>
      </c>
      <c r="F21" s="70">
        <v>45446</v>
      </c>
      <c r="G21" s="67">
        <v>45495</v>
      </c>
      <c r="H21" s="1" t="s">
        <v>25</v>
      </c>
      <c r="I21" s="1" t="s">
        <v>26</v>
      </c>
      <c r="J21" s="59" t="s">
        <v>82</v>
      </c>
      <c r="K21" s="6">
        <v>1</v>
      </c>
      <c r="L21" s="56">
        <v>45453</v>
      </c>
      <c r="M21" s="50">
        <v>0</v>
      </c>
      <c r="N21" s="50">
        <v>0</v>
      </c>
      <c r="O21" s="50">
        <f t="shared" si="3"/>
        <v>0</v>
      </c>
      <c r="P21" s="50" t="s">
        <v>250</v>
      </c>
      <c r="Q21" s="50" t="s">
        <v>250</v>
      </c>
      <c r="T21" s="59" t="s">
        <v>82</v>
      </c>
      <c r="U21" s="6">
        <v>2</v>
      </c>
      <c r="V21" s="56">
        <v>45460</v>
      </c>
      <c r="W21" s="50">
        <v>0</v>
      </c>
      <c r="X21" s="50">
        <v>0</v>
      </c>
      <c r="Y21" s="50">
        <f t="shared" si="4"/>
        <v>0</v>
      </c>
      <c r="Z21" s="50" t="s">
        <v>250</v>
      </c>
      <c r="AA21" s="57" t="s">
        <v>250</v>
      </c>
      <c r="AC21" s="50"/>
      <c r="AD21" s="59" t="s">
        <v>82</v>
      </c>
      <c r="AE21" s="1">
        <v>3</v>
      </c>
      <c r="AF21" s="56">
        <v>45467</v>
      </c>
      <c r="AG21" s="50">
        <v>0</v>
      </c>
      <c r="AH21" s="50">
        <v>0</v>
      </c>
      <c r="AI21" s="50">
        <f t="shared" si="26"/>
        <v>0</v>
      </c>
      <c r="AJ21" s="50" t="s">
        <v>250</v>
      </c>
      <c r="AK21" s="57" t="s">
        <v>250</v>
      </c>
      <c r="AM21" s="50"/>
      <c r="AN21" s="59" t="s">
        <v>82</v>
      </c>
      <c r="AO21" s="1">
        <v>4</v>
      </c>
      <c r="AP21" s="56">
        <v>45474</v>
      </c>
      <c r="AQ21" s="50">
        <v>0</v>
      </c>
      <c r="AR21" s="50">
        <v>0</v>
      </c>
      <c r="AS21" s="50">
        <f t="shared" si="27"/>
        <v>0</v>
      </c>
      <c r="AT21" s="50" t="s">
        <v>250</v>
      </c>
      <c r="AU21" s="57" t="s">
        <v>250</v>
      </c>
      <c r="AW21" s="50"/>
      <c r="AX21" s="59" t="s">
        <v>82</v>
      </c>
      <c r="AY21" s="1">
        <v>5</v>
      </c>
      <c r="AZ21" s="56">
        <v>45481</v>
      </c>
      <c r="BA21" s="50">
        <v>0</v>
      </c>
      <c r="BB21" s="50">
        <v>1</v>
      </c>
      <c r="BC21" s="50">
        <f t="shared" si="12"/>
        <v>1</v>
      </c>
      <c r="BD21" s="50" t="s">
        <v>250</v>
      </c>
      <c r="BE21" s="57" t="s">
        <v>250</v>
      </c>
      <c r="BG21" s="50"/>
      <c r="BH21" s="59" t="s">
        <v>82</v>
      </c>
      <c r="BI21" s="1">
        <v>6</v>
      </c>
      <c r="BJ21" s="56">
        <v>45488</v>
      </c>
      <c r="BK21" s="50">
        <v>0</v>
      </c>
      <c r="BL21" s="50">
        <v>0</v>
      </c>
      <c r="BM21" s="50">
        <f t="shared" si="13"/>
        <v>0</v>
      </c>
      <c r="BN21" s="50" t="s">
        <v>250</v>
      </c>
      <c r="BO21" s="57" t="s">
        <v>250</v>
      </c>
      <c r="BQ21" s="50"/>
      <c r="BR21" s="59" t="s">
        <v>82</v>
      </c>
      <c r="BS21" s="1">
        <v>7</v>
      </c>
      <c r="BT21" s="56">
        <v>45495</v>
      </c>
      <c r="BU21" s="50">
        <v>0</v>
      </c>
      <c r="BV21" s="50">
        <v>3</v>
      </c>
      <c r="BW21" s="50">
        <f t="shared" si="7"/>
        <v>3</v>
      </c>
      <c r="BX21" s="50" t="s">
        <v>250</v>
      </c>
      <c r="BY21" s="50" t="s">
        <v>250</v>
      </c>
      <c r="CC21" s="77" t="s">
        <v>82</v>
      </c>
      <c r="CD21" s="78">
        <f t="shared" si="2"/>
        <v>4</v>
      </c>
      <c r="CF21" s="28" t="s">
        <v>84</v>
      </c>
      <c r="CG21" s="29">
        <f>SUM(CD53:CD78,CD80,CD89,CD94,CD98:CD100)</f>
        <v>449</v>
      </c>
      <c r="CH21" s="81" cm="1">
        <f t="array" aca="1" ref="CH21" ca="1">SUM(COUNTIF(INDIRECT({"CD53:CD78","CD80","CD89","CD94","CD98:CD100"}),"&lt;&gt;"))</f>
        <v>32</v>
      </c>
      <c r="CI21" s="29" cm="1">
        <f t="array" aca="1" ref="CI21" ca="1">SUM(COUNTIF(INDIRECT({"CD53:CD78","CD80","CD89","CD94","CD98:CD100"}),"&gt;0"))</f>
        <v>27</v>
      </c>
      <c r="CJ21" s="41">
        <f t="shared" ca="1" si="17"/>
        <v>84.375</v>
      </c>
    </row>
    <row r="22" spans="1:88" ht="14.4" x14ac:dyDescent="0.3">
      <c r="A22" s="50" t="s">
        <v>85</v>
      </c>
      <c r="B22" s="50" t="s">
        <v>81</v>
      </c>
      <c r="C22" s="68">
        <v>32.411819999999999</v>
      </c>
      <c r="D22" s="68">
        <v>-83.501890000000003</v>
      </c>
      <c r="E22" s="70">
        <v>45429</v>
      </c>
      <c r="F22" s="70">
        <v>45449</v>
      </c>
      <c r="G22" s="67">
        <v>45498</v>
      </c>
      <c r="H22" s="1" t="s">
        <v>25</v>
      </c>
      <c r="I22" s="1" t="s">
        <v>26</v>
      </c>
      <c r="J22" s="59" t="s">
        <v>85</v>
      </c>
      <c r="K22" s="6">
        <v>1</v>
      </c>
      <c r="L22" s="56">
        <v>45456</v>
      </c>
      <c r="M22" s="50">
        <v>0</v>
      </c>
      <c r="N22" s="50">
        <v>0</v>
      </c>
      <c r="O22" s="50">
        <f t="shared" si="3"/>
        <v>0</v>
      </c>
      <c r="P22" s="50" t="s">
        <v>250</v>
      </c>
      <c r="Q22" s="57" t="s">
        <v>250</v>
      </c>
      <c r="T22" s="59" t="s">
        <v>85</v>
      </c>
      <c r="U22" s="6">
        <v>2</v>
      </c>
      <c r="V22" s="56">
        <v>45463</v>
      </c>
      <c r="W22" s="50">
        <v>15</v>
      </c>
      <c r="X22" s="50">
        <v>2</v>
      </c>
      <c r="Y22" s="50">
        <f t="shared" si="4"/>
        <v>17</v>
      </c>
      <c r="Z22" s="50" t="s">
        <v>252</v>
      </c>
      <c r="AA22" s="57" t="s">
        <v>252</v>
      </c>
      <c r="AC22" s="50"/>
      <c r="AD22" s="59" t="s">
        <v>85</v>
      </c>
      <c r="AE22" s="1">
        <v>3</v>
      </c>
      <c r="AF22" s="56">
        <v>45470</v>
      </c>
      <c r="AG22" s="50">
        <v>0</v>
      </c>
      <c r="AH22" s="50">
        <v>0</v>
      </c>
      <c r="AI22" s="50">
        <f t="shared" si="5"/>
        <v>0</v>
      </c>
      <c r="AJ22" s="50" t="s">
        <v>250</v>
      </c>
      <c r="AK22" s="57" t="s">
        <v>250</v>
      </c>
      <c r="AM22" s="50"/>
      <c r="AN22" s="59" t="s">
        <v>85</v>
      </c>
      <c r="AO22" s="1">
        <v>4</v>
      </c>
      <c r="AP22" s="56">
        <v>45477</v>
      </c>
      <c r="AQ22" s="50">
        <v>0</v>
      </c>
      <c r="AR22" s="50">
        <v>0</v>
      </c>
      <c r="AS22" s="50">
        <f t="shared" si="6"/>
        <v>0</v>
      </c>
      <c r="AT22" s="50" t="s">
        <v>250</v>
      </c>
      <c r="AU22" s="57" t="s">
        <v>250</v>
      </c>
      <c r="AW22" s="50"/>
      <c r="AX22" s="59" t="s">
        <v>85</v>
      </c>
      <c r="AY22" s="1">
        <v>5</v>
      </c>
      <c r="AZ22" s="56">
        <v>45484</v>
      </c>
      <c r="BA22" s="50">
        <v>6</v>
      </c>
      <c r="BB22" s="50">
        <v>4</v>
      </c>
      <c r="BC22" s="50">
        <f t="shared" si="12"/>
        <v>10</v>
      </c>
      <c r="BD22" s="50" t="s">
        <v>252</v>
      </c>
      <c r="BE22" s="57" t="s">
        <v>250</v>
      </c>
      <c r="BG22" s="50"/>
      <c r="BH22" s="59" t="s">
        <v>85</v>
      </c>
      <c r="BI22" s="1">
        <v>6</v>
      </c>
      <c r="BJ22" s="56">
        <v>45491</v>
      </c>
      <c r="BK22" s="50">
        <v>0</v>
      </c>
      <c r="BL22" s="50">
        <v>2</v>
      </c>
      <c r="BM22" s="50">
        <f t="shared" si="13"/>
        <v>2</v>
      </c>
      <c r="BN22" s="50" t="s">
        <v>261</v>
      </c>
      <c r="BO22" s="57" t="s">
        <v>250</v>
      </c>
      <c r="BQ22" s="50"/>
      <c r="BR22" s="59" t="s">
        <v>85</v>
      </c>
      <c r="BS22" s="1">
        <v>7</v>
      </c>
      <c r="BT22" s="56">
        <v>45498</v>
      </c>
      <c r="BU22" s="50">
        <v>0</v>
      </c>
      <c r="BV22" s="50">
        <v>0</v>
      </c>
      <c r="BW22" s="50">
        <f t="shared" si="7"/>
        <v>0</v>
      </c>
      <c r="BX22" s="50" t="s">
        <v>250</v>
      </c>
      <c r="BY22" s="50" t="s">
        <v>250</v>
      </c>
      <c r="CC22" s="77" t="s">
        <v>85</v>
      </c>
      <c r="CD22" s="78">
        <f t="shared" si="2"/>
        <v>29</v>
      </c>
      <c r="CF22" s="28" t="s">
        <v>87</v>
      </c>
      <c r="CG22" s="29">
        <f>SUM(CD93)</f>
        <v>0</v>
      </c>
      <c r="CH22" s="81">
        <f>COUNTIF(CD93,"&lt;&gt;")</f>
        <v>1</v>
      </c>
      <c r="CI22" s="29">
        <f>COUNTIF(CD93,"&gt;0")</f>
        <v>0</v>
      </c>
      <c r="CJ22" s="41">
        <f t="shared" ref="CJ22:CJ30" si="29">(CI22/CH22)*100</f>
        <v>0</v>
      </c>
    </row>
    <row r="23" spans="1:88" ht="14.4" x14ac:dyDescent="0.3">
      <c r="A23" s="50" t="s">
        <v>88</v>
      </c>
      <c r="B23" s="50" t="s">
        <v>81</v>
      </c>
      <c r="C23" s="68">
        <v>32.412660000000002</v>
      </c>
      <c r="D23" s="68">
        <v>-83.49539</v>
      </c>
      <c r="E23" s="70">
        <v>45429</v>
      </c>
      <c r="F23" s="70">
        <v>45449</v>
      </c>
      <c r="G23" s="67">
        <v>45498</v>
      </c>
      <c r="H23" s="1" t="s">
        <v>25</v>
      </c>
      <c r="I23" s="1" t="s">
        <v>26</v>
      </c>
      <c r="J23" s="59" t="s">
        <v>88</v>
      </c>
      <c r="K23" s="6">
        <v>1</v>
      </c>
      <c r="L23" s="56">
        <v>45456</v>
      </c>
      <c r="M23" s="50">
        <v>1</v>
      </c>
      <c r="N23" s="50">
        <v>3</v>
      </c>
      <c r="O23" s="50">
        <f t="shared" si="3"/>
        <v>4</v>
      </c>
      <c r="P23" s="50" t="s">
        <v>252</v>
      </c>
      <c r="Q23" s="57" t="s">
        <v>250</v>
      </c>
      <c r="R23" s="57" t="s">
        <v>270</v>
      </c>
      <c r="T23" s="59" t="s">
        <v>88</v>
      </c>
      <c r="U23" s="6">
        <v>2</v>
      </c>
      <c r="V23" s="56">
        <v>45463</v>
      </c>
      <c r="W23" s="50">
        <v>0</v>
      </c>
      <c r="X23" s="50">
        <v>0</v>
      </c>
      <c r="Y23" s="50">
        <f t="shared" si="4"/>
        <v>0</v>
      </c>
      <c r="Z23" s="50" t="s">
        <v>250</v>
      </c>
      <c r="AA23" s="57" t="s">
        <v>250</v>
      </c>
      <c r="AC23" s="50"/>
      <c r="AD23" s="59" t="s">
        <v>88</v>
      </c>
      <c r="AE23" s="1">
        <v>3</v>
      </c>
      <c r="AF23" s="56">
        <v>45470</v>
      </c>
      <c r="AG23" s="50">
        <v>3</v>
      </c>
      <c r="AH23" s="50">
        <v>1</v>
      </c>
      <c r="AI23" s="50">
        <f t="shared" si="5"/>
        <v>4</v>
      </c>
      <c r="AJ23" s="50" t="s">
        <v>252</v>
      </c>
      <c r="AK23" s="57" t="s">
        <v>250</v>
      </c>
      <c r="AM23" s="50"/>
      <c r="AN23" s="59" t="s">
        <v>88</v>
      </c>
      <c r="AO23" s="1">
        <v>4</v>
      </c>
      <c r="AP23" s="56">
        <v>45477</v>
      </c>
      <c r="AQ23" s="50">
        <v>0</v>
      </c>
      <c r="AR23" s="50">
        <v>0</v>
      </c>
      <c r="AS23" s="50">
        <f t="shared" ref="AS23:AS24" si="30">SUM(AQ23+AR23)</f>
        <v>0</v>
      </c>
      <c r="AT23" s="50" t="s">
        <v>250</v>
      </c>
      <c r="AU23" s="57" t="s">
        <v>250</v>
      </c>
      <c r="AW23" s="50"/>
      <c r="AX23" s="59" t="s">
        <v>88</v>
      </c>
      <c r="AY23" s="1">
        <v>5</v>
      </c>
      <c r="AZ23" s="56">
        <v>45484</v>
      </c>
      <c r="BA23" s="50">
        <v>0</v>
      </c>
      <c r="BB23" s="50">
        <v>0</v>
      </c>
      <c r="BC23" s="50">
        <f t="shared" si="12"/>
        <v>0</v>
      </c>
      <c r="BD23" s="50" t="s">
        <v>250</v>
      </c>
      <c r="BE23" s="57" t="s">
        <v>250</v>
      </c>
      <c r="BG23" s="50"/>
      <c r="BH23" s="59" t="s">
        <v>88</v>
      </c>
      <c r="BI23" s="1">
        <v>6</v>
      </c>
      <c r="BJ23" s="56">
        <v>45491</v>
      </c>
      <c r="BK23" s="50">
        <v>0</v>
      </c>
      <c r="BL23" s="57">
        <v>0</v>
      </c>
      <c r="BM23" s="50">
        <f t="shared" si="13"/>
        <v>0</v>
      </c>
      <c r="BN23" s="50" t="s">
        <v>250</v>
      </c>
      <c r="BO23" s="57" t="s">
        <v>250</v>
      </c>
      <c r="BQ23" s="50"/>
      <c r="BR23" s="59" t="s">
        <v>88</v>
      </c>
      <c r="BS23" s="1">
        <v>7</v>
      </c>
      <c r="BT23" s="56">
        <v>45498</v>
      </c>
      <c r="BU23" s="50">
        <v>0</v>
      </c>
      <c r="BV23" s="50">
        <v>0</v>
      </c>
      <c r="BW23" s="50">
        <f t="shared" ref="BW23:BW24" si="31">SUM(BU23+BV23)</f>
        <v>0</v>
      </c>
      <c r="BX23" s="50" t="s">
        <v>250</v>
      </c>
      <c r="BY23" s="50" t="s">
        <v>250</v>
      </c>
      <c r="CC23" s="77" t="s">
        <v>88</v>
      </c>
      <c r="CD23" s="78">
        <f t="shared" si="2"/>
        <v>8</v>
      </c>
      <c r="CF23" s="28" t="s">
        <v>304</v>
      </c>
      <c r="CG23" s="29">
        <f>SUM(CD108)</f>
        <v>0</v>
      </c>
      <c r="CH23" s="81">
        <f>COUNTIF(CD108,"&lt;&gt;")</f>
        <v>1</v>
      </c>
      <c r="CI23" s="29">
        <f>COUNTIF(CD108,"&gt;0")</f>
        <v>0</v>
      </c>
      <c r="CJ23" s="41">
        <f t="shared" si="29"/>
        <v>0</v>
      </c>
    </row>
    <row r="24" spans="1:88" ht="14.4" x14ac:dyDescent="0.3">
      <c r="A24" s="50" t="s">
        <v>89</v>
      </c>
      <c r="B24" s="50" t="s">
        <v>81</v>
      </c>
      <c r="C24" s="68">
        <v>32.414569999999998</v>
      </c>
      <c r="D24" s="68">
        <v>-83.486599999999996</v>
      </c>
      <c r="E24" s="70">
        <v>45429</v>
      </c>
      <c r="F24" s="70">
        <v>45449</v>
      </c>
      <c r="G24" s="67">
        <v>45498</v>
      </c>
      <c r="H24" s="1" t="s">
        <v>25</v>
      </c>
      <c r="I24" s="1" t="s">
        <v>26</v>
      </c>
      <c r="J24" s="59" t="s">
        <v>89</v>
      </c>
      <c r="K24" s="6">
        <v>1</v>
      </c>
      <c r="L24" s="56">
        <v>45456</v>
      </c>
      <c r="M24" s="50">
        <v>0</v>
      </c>
      <c r="N24" s="50">
        <v>1</v>
      </c>
      <c r="O24" s="50">
        <f t="shared" si="3"/>
        <v>1</v>
      </c>
      <c r="P24" s="50" t="s">
        <v>261</v>
      </c>
      <c r="Q24" s="57" t="s">
        <v>250</v>
      </c>
      <c r="R24" s="57" t="s">
        <v>270</v>
      </c>
      <c r="T24" s="59" t="s">
        <v>89</v>
      </c>
      <c r="U24" s="6">
        <v>2</v>
      </c>
      <c r="V24" s="56">
        <v>45463</v>
      </c>
      <c r="W24" s="50">
        <v>14</v>
      </c>
      <c r="X24" s="50">
        <v>6</v>
      </c>
      <c r="Y24" s="50">
        <f t="shared" si="4"/>
        <v>20</v>
      </c>
      <c r="Z24" s="50" t="s">
        <v>252</v>
      </c>
      <c r="AA24" s="57" t="s">
        <v>252</v>
      </c>
      <c r="AC24" s="50"/>
      <c r="AD24" s="59" t="s">
        <v>89</v>
      </c>
      <c r="AE24" s="1">
        <v>3</v>
      </c>
      <c r="AF24" s="56">
        <v>45470</v>
      </c>
      <c r="AG24" s="50">
        <v>6</v>
      </c>
      <c r="AH24" s="50">
        <v>1</v>
      </c>
      <c r="AI24" s="50">
        <f t="shared" si="5"/>
        <v>7</v>
      </c>
      <c r="AJ24" s="50" t="s">
        <v>252</v>
      </c>
      <c r="AK24" s="57" t="s">
        <v>250</v>
      </c>
      <c r="AM24" s="50"/>
      <c r="AN24" s="59" t="s">
        <v>89</v>
      </c>
      <c r="AO24" s="1">
        <v>4</v>
      </c>
      <c r="AP24" s="56">
        <v>45477</v>
      </c>
      <c r="AQ24" s="50">
        <v>1</v>
      </c>
      <c r="AR24" s="50">
        <v>0</v>
      </c>
      <c r="AS24" s="50">
        <f t="shared" si="30"/>
        <v>1</v>
      </c>
      <c r="AT24" s="50" t="s">
        <v>252</v>
      </c>
      <c r="AU24" s="57" t="s">
        <v>250</v>
      </c>
      <c r="AW24" s="50"/>
      <c r="AX24" s="59" t="s">
        <v>89</v>
      </c>
      <c r="AY24" s="1">
        <v>5</v>
      </c>
      <c r="AZ24" s="56">
        <v>45484</v>
      </c>
      <c r="BA24" s="50">
        <v>0</v>
      </c>
      <c r="BB24" s="50">
        <v>0</v>
      </c>
      <c r="BC24" s="50">
        <f t="shared" ref="BC24:BC26" si="32">SUM(BA24+BB24)</f>
        <v>0</v>
      </c>
      <c r="BD24" s="50" t="s">
        <v>250</v>
      </c>
      <c r="BE24" s="57" t="s">
        <v>250</v>
      </c>
      <c r="BG24" s="50"/>
      <c r="BH24" s="59" t="s">
        <v>89</v>
      </c>
      <c r="BI24" s="1">
        <v>6</v>
      </c>
      <c r="BJ24" s="56">
        <v>45491</v>
      </c>
      <c r="BK24" s="50">
        <v>0</v>
      </c>
      <c r="BL24" s="57">
        <v>0</v>
      </c>
      <c r="BM24" s="50">
        <f t="shared" ref="BM24:BM25" si="33">SUM(BK24+BL24)</f>
        <v>0</v>
      </c>
      <c r="BN24" s="50" t="s">
        <v>250</v>
      </c>
      <c r="BO24" s="57" t="s">
        <v>250</v>
      </c>
      <c r="BQ24" s="50"/>
      <c r="BR24" s="59" t="s">
        <v>89</v>
      </c>
      <c r="BS24" s="1">
        <v>7</v>
      </c>
      <c r="BT24" s="56">
        <v>45498</v>
      </c>
      <c r="BU24" s="50">
        <v>0</v>
      </c>
      <c r="BV24" s="50">
        <v>2</v>
      </c>
      <c r="BW24" s="50">
        <f t="shared" si="31"/>
        <v>2</v>
      </c>
      <c r="BX24" s="50" t="s">
        <v>252</v>
      </c>
      <c r="BY24" s="50" t="s">
        <v>250</v>
      </c>
      <c r="CC24" s="77" t="s">
        <v>89</v>
      </c>
      <c r="CD24" s="78">
        <f t="shared" si="2"/>
        <v>31</v>
      </c>
      <c r="CF24" s="28" t="s">
        <v>76</v>
      </c>
      <c r="CG24" s="29">
        <f>SUM(CD19)</f>
        <v>5</v>
      </c>
      <c r="CH24" s="81">
        <f>COUNTIF(CD19,"&lt;&gt;")</f>
        <v>1</v>
      </c>
      <c r="CI24" s="29">
        <f>COUNTIF(CD19,"&gt;0")</f>
        <v>1</v>
      </c>
      <c r="CJ24" s="41">
        <f t="shared" si="29"/>
        <v>100</v>
      </c>
    </row>
    <row r="25" spans="1:88" ht="14.4" x14ac:dyDescent="0.3">
      <c r="A25" s="50" t="s">
        <v>92</v>
      </c>
      <c r="B25" s="50" t="s">
        <v>81</v>
      </c>
      <c r="C25" s="68">
        <v>32.427239999999998</v>
      </c>
      <c r="D25" s="68">
        <v>-83.492909999999995</v>
      </c>
      <c r="E25" s="70">
        <v>45429</v>
      </c>
      <c r="F25" s="70">
        <v>45449</v>
      </c>
      <c r="G25" s="67">
        <v>45498</v>
      </c>
      <c r="H25" s="1" t="s">
        <v>25</v>
      </c>
      <c r="I25" s="1" t="s">
        <v>26</v>
      </c>
      <c r="J25" s="59" t="s">
        <v>92</v>
      </c>
      <c r="K25" s="6">
        <v>1</v>
      </c>
      <c r="L25" s="56">
        <v>45456</v>
      </c>
      <c r="M25" s="50">
        <v>15</v>
      </c>
      <c r="N25" s="50">
        <v>12</v>
      </c>
      <c r="O25" s="50">
        <f t="shared" si="3"/>
        <v>27</v>
      </c>
      <c r="P25" s="50" t="s">
        <v>252</v>
      </c>
      <c r="Q25" s="57" t="s">
        <v>252</v>
      </c>
      <c r="T25" s="59" t="s">
        <v>92</v>
      </c>
      <c r="U25" s="6">
        <v>2</v>
      </c>
      <c r="V25" s="56">
        <v>45463</v>
      </c>
      <c r="W25" s="50">
        <v>20</v>
      </c>
      <c r="X25" s="50">
        <v>12</v>
      </c>
      <c r="Y25" s="50">
        <f t="shared" si="4"/>
        <v>32</v>
      </c>
      <c r="Z25" s="50" t="s">
        <v>252</v>
      </c>
      <c r="AA25" s="57" t="s">
        <v>252</v>
      </c>
      <c r="AC25" s="50"/>
      <c r="AD25" s="59" t="s">
        <v>92</v>
      </c>
      <c r="AE25" s="1">
        <v>3</v>
      </c>
      <c r="AF25" s="56">
        <v>45470</v>
      </c>
      <c r="AG25" s="50">
        <v>5</v>
      </c>
      <c r="AH25" s="50">
        <v>10</v>
      </c>
      <c r="AI25" s="50">
        <f t="shared" si="5"/>
        <v>15</v>
      </c>
      <c r="AJ25" s="50" t="s">
        <v>252</v>
      </c>
      <c r="AK25" s="57" t="s">
        <v>252</v>
      </c>
      <c r="AM25" s="50"/>
      <c r="AN25" s="59" t="s">
        <v>92</v>
      </c>
      <c r="AO25" s="1">
        <v>4</v>
      </c>
      <c r="AP25" s="56">
        <v>45477</v>
      </c>
      <c r="AQ25" s="50">
        <v>9</v>
      </c>
      <c r="AR25" s="50">
        <v>7</v>
      </c>
      <c r="AS25" s="50">
        <f t="shared" si="6"/>
        <v>16</v>
      </c>
      <c r="AT25" s="50" t="s">
        <v>252</v>
      </c>
      <c r="AU25" s="57" t="s">
        <v>250</v>
      </c>
      <c r="AW25" s="50"/>
      <c r="AX25" s="59" t="s">
        <v>92</v>
      </c>
      <c r="AY25" s="1">
        <v>5</v>
      </c>
      <c r="AZ25" s="56">
        <v>45484</v>
      </c>
      <c r="BA25" s="50">
        <v>0</v>
      </c>
      <c r="BB25" s="50">
        <v>0</v>
      </c>
      <c r="BC25" s="50">
        <f t="shared" si="32"/>
        <v>0</v>
      </c>
      <c r="BD25" s="50" t="s">
        <v>250</v>
      </c>
      <c r="BE25" s="57" t="s">
        <v>250</v>
      </c>
      <c r="BG25" s="50"/>
      <c r="BH25" s="59" t="s">
        <v>92</v>
      </c>
      <c r="BI25" s="1">
        <v>6</v>
      </c>
      <c r="BJ25" s="56">
        <v>45491</v>
      </c>
      <c r="BK25" s="50">
        <v>14</v>
      </c>
      <c r="BL25" s="57">
        <v>12</v>
      </c>
      <c r="BM25" s="50">
        <f t="shared" si="33"/>
        <v>26</v>
      </c>
      <c r="BN25" s="50" t="s">
        <v>252</v>
      </c>
      <c r="BO25" s="57" t="s">
        <v>252</v>
      </c>
      <c r="BQ25" s="50"/>
      <c r="BR25" s="59" t="s">
        <v>92</v>
      </c>
      <c r="BS25" s="1">
        <v>7</v>
      </c>
      <c r="BT25" s="56">
        <v>45498</v>
      </c>
      <c r="BU25" s="50">
        <v>3</v>
      </c>
      <c r="BV25" s="50">
        <v>0</v>
      </c>
      <c r="BW25" s="50">
        <f t="shared" si="7"/>
        <v>3</v>
      </c>
      <c r="BX25" s="50" t="s">
        <v>252</v>
      </c>
      <c r="BY25" s="50" t="s">
        <v>250</v>
      </c>
      <c r="CC25" s="77" t="s">
        <v>92</v>
      </c>
      <c r="CD25" s="78">
        <f t="shared" si="2"/>
        <v>119</v>
      </c>
      <c r="CF25" s="28" t="s">
        <v>91</v>
      </c>
      <c r="CG25" s="29">
        <f>SUM(CD87:CD88,CD96,CD101,CD138)</f>
        <v>106</v>
      </c>
      <c r="CH25" s="81" cm="1">
        <f t="array" aca="1" ref="CH25" ca="1">SUM(COUNTIF(INDIRECT({"CD87:CD88","CD96","CD101","CD138"}),"&lt;&gt;"))</f>
        <v>5</v>
      </c>
      <c r="CI25" s="29" cm="1">
        <f t="array" aca="1" ref="CI25" ca="1">SUM(COUNTIF(INDIRECT({"CD87:CD88","CD96","CD101","CD138"}),"&gt;0"))</f>
        <v>5</v>
      </c>
      <c r="CJ25" s="41">
        <f t="shared" ca="1" si="29"/>
        <v>100</v>
      </c>
    </row>
    <row r="26" spans="1:88" ht="14.4" x14ac:dyDescent="0.3">
      <c r="A26" s="50" t="s">
        <v>94</v>
      </c>
      <c r="B26" s="50" t="s">
        <v>81</v>
      </c>
      <c r="C26" s="68">
        <v>32.438510000000001</v>
      </c>
      <c r="D26" s="68">
        <v>-83.496639999999999</v>
      </c>
      <c r="E26" s="70">
        <v>45429</v>
      </c>
      <c r="F26" s="70">
        <v>45449</v>
      </c>
      <c r="G26" s="67">
        <v>45498</v>
      </c>
      <c r="H26" s="1" t="s">
        <v>25</v>
      </c>
      <c r="I26" s="1" t="s">
        <v>26</v>
      </c>
      <c r="J26" s="59" t="s">
        <v>94</v>
      </c>
      <c r="K26" s="6">
        <v>1</v>
      </c>
      <c r="L26" s="56">
        <v>45456</v>
      </c>
      <c r="M26" s="50">
        <v>10</v>
      </c>
      <c r="N26" s="50">
        <v>5</v>
      </c>
      <c r="O26" s="50">
        <f t="shared" si="3"/>
        <v>15</v>
      </c>
      <c r="P26" s="50" t="s">
        <v>252</v>
      </c>
      <c r="Q26" s="57" t="s">
        <v>252</v>
      </c>
      <c r="T26" s="59" t="s">
        <v>94</v>
      </c>
      <c r="U26" s="6">
        <v>2</v>
      </c>
      <c r="V26" s="56">
        <v>45463</v>
      </c>
      <c r="W26" s="50">
        <v>5</v>
      </c>
      <c r="X26" s="50">
        <v>7</v>
      </c>
      <c r="Y26" s="50">
        <f t="shared" si="4"/>
        <v>12</v>
      </c>
      <c r="Z26" s="50" t="s">
        <v>252</v>
      </c>
      <c r="AA26" s="57" t="s">
        <v>252</v>
      </c>
      <c r="AC26" s="50"/>
      <c r="AD26" s="59" t="s">
        <v>94</v>
      </c>
      <c r="AE26" s="1">
        <v>3</v>
      </c>
      <c r="AF26" s="56">
        <v>45470</v>
      </c>
      <c r="AG26" s="50">
        <v>10</v>
      </c>
      <c r="AH26" s="50">
        <v>11</v>
      </c>
      <c r="AI26" s="50">
        <f t="shared" si="5"/>
        <v>21</v>
      </c>
      <c r="AJ26" s="50" t="s">
        <v>252</v>
      </c>
      <c r="AK26" s="57" t="s">
        <v>252</v>
      </c>
      <c r="AM26" s="50"/>
      <c r="AN26" s="59" t="s">
        <v>94</v>
      </c>
      <c r="AO26" s="1">
        <v>4</v>
      </c>
      <c r="AP26" s="56">
        <v>45477</v>
      </c>
      <c r="AQ26" s="50">
        <v>6</v>
      </c>
      <c r="AR26" s="50">
        <v>5</v>
      </c>
      <c r="AS26" s="50">
        <f t="shared" si="6"/>
        <v>11</v>
      </c>
      <c r="AT26" s="50" t="s">
        <v>252</v>
      </c>
      <c r="AU26" s="57" t="s">
        <v>252</v>
      </c>
      <c r="AW26" s="50"/>
      <c r="AX26" s="59" t="s">
        <v>94</v>
      </c>
      <c r="AY26" s="1">
        <v>5</v>
      </c>
      <c r="AZ26" s="56">
        <v>45484</v>
      </c>
      <c r="BA26" s="50">
        <v>1</v>
      </c>
      <c r="BB26" s="50">
        <v>5</v>
      </c>
      <c r="BC26" s="50">
        <f t="shared" si="32"/>
        <v>6</v>
      </c>
      <c r="BD26" s="50" t="s">
        <v>252</v>
      </c>
      <c r="BE26" s="57" t="s">
        <v>252</v>
      </c>
      <c r="BG26" s="50"/>
      <c r="BH26" s="59" t="s">
        <v>94</v>
      </c>
      <c r="BI26" s="1">
        <v>6</v>
      </c>
      <c r="BJ26" s="56">
        <v>45491</v>
      </c>
      <c r="BK26" s="50">
        <v>9</v>
      </c>
      <c r="BL26" s="50">
        <v>4</v>
      </c>
      <c r="BM26" s="50">
        <f t="shared" si="13"/>
        <v>13</v>
      </c>
      <c r="BN26" s="50" t="s">
        <v>252</v>
      </c>
      <c r="BO26" s="57" t="s">
        <v>252</v>
      </c>
      <c r="BQ26" s="50"/>
      <c r="BR26" s="59" t="s">
        <v>94</v>
      </c>
      <c r="BS26" s="1">
        <v>7</v>
      </c>
      <c r="BT26" s="56">
        <v>45498</v>
      </c>
      <c r="BU26" s="50">
        <v>4</v>
      </c>
      <c r="BV26" s="50">
        <v>7</v>
      </c>
      <c r="BW26" s="50">
        <f t="shared" si="7"/>
        <v>11</v>
      </c>
      <c r="BX26" s="50" t="s">
        <v>252</v>
      </c>
      <c r="BY26" s="50" t="s">
        <v>252</v>
      </c>
      <c r="CC26" s="77" t="s">
        <v>94</v>
      </c>
      <c r="CD26" s="78">
        <f t="shared" si="2"/>
        <v>89</v>
      </c>
      <c r="CF26" s="28" t="s">
        <v>93</v>
      </c>
      <c r="CG26" s="29">
        <f>SUM(CD86)</f>
        <v>50</v>
      </c>
      <c r="CH26" s="29">
        <f>COUNTIF(CD86,"&lt;&gt;")</f>
        <v>1</v>
      </c>
      <c r="CI26" s="29">
        <f>COUNTIF(CD86,"&gt;0")</f>
        <v>1</v>
      </c>
      <c r="CJ26" s="41">
        <f t="shared" si="29"/>
        <v>100</v>
      </c>
    </row>
    <row r="27" spans="1:88" ht="14.4" x14ac:dyDescent="0.3">
      <c r="A27" s="50" t="s">
        <v>97</v>
      </c>
      <c r="B27" s="50" t="s">
        <v>81</v>
      </c>
      <c r="C27" s="68">
        <v>32.444609999999997</v>
      </c>
      <c r="D27" s="68">
        <v>-83.522580000000005</v>
      </c>
      <c r="E27" s="70">
        <v>45441</v>
      </c>
      <c r="F27" s="70">
        <v>45449</v>
      </c>
      <c r="G27" s="67">
        <v>45498</v>
      </c>
      <c r="H27" s="1" t="s">
        <v>25</v>
      </c>
      <c r="I27" s="1" t="s">
        <v>26</v>
      </c>
      <c r="J27" s="59" t="s">
        <v>97</v>
      </c>
      <c r="K27" s="6">
        <v>1</v>
      </c>
      <c r="L27" s="56">
        <v>45456</v>
      </c>
      <c r="M27" s="50">
        <v>0</v>
      </c>
      <c r="N27" s="50">
        <v>0</v>
      </c>
      <c r="O27" s="50">
        <f t="shared" si="3"/>
        <v>0</v>
      </c>
      <c r="P27" s="50" t="s">
        <v>250</v>
      </c>
      <c r="Q27" s="57" t="s">
        <v>250</v>
      </c>
      <c r="T27" s="59" t="s">
        <v>97</v>
      </c>
      <c r="U27" s="6">
        <v>2</v>
      </c>
      <c r="V27" s="56">
        <v>45463</v>
      </c>
      <c r="W27" s="50">
        <v>0</v>
      </c>
      <c r="X27" s="50">
        <v>0</v>
      </c>
      <c r="Y27" s="50">
        <f t="shared" si="4"/>
        <v>0</v>
      </c>
      <c r="Z27" s="50" t="s">
        <v>250</v>
      </c>
      <c r="AA27" s="57" t="s">
        <v>250</v>
      </c>
      <c r="AC27" s="50"/>
      <c r="AD27" s="59" t="s">
        <v>97</v>
      </c>
      <c r="AE27" s="1">
        <v>3</v>
      </c>
      <c r="AF27" s="56">
        <v>45470</v>
      </c>
      <c r="AG27" s="50">
        <v>0</v>
      </c>
      <c r="AH27" s="50">
        <v>0</v>
      </c>
      <c r="AI27" s="50">
        <f t="shared" si="5"/>
        <v>0</v>
      </c>
      <c r="AJ27" s="50" t="s">
        <v>250</v>
      </c>
      <c r="AK27" s="57" t="s">
        <v>250</v>
      </c>
      <c r="AM27" s="50"/>
      <c r="AN27" s="59" t="s">
        <v>97</v>
      </c>
      <c r="AO27" s="1">
        <v>4</v>
      </c>
      <c r="AP27" s="56">
        <v>45477</v>
      </c>
      <c r="AQ27" s="50">
        <v>5</v>
      </c>
      <c r="AR27" s="50">
        <v>10</v>
      </c>
      <c r="AS27" s="50">
        <f t="shared" si="6"/>
        <v>15</v>
      </c>
      <c r="AT27" s="50" t="s">
        <v>252</v>
      </c>
      <c r="AU27" s="57" t="s">
        <v>250</v>
      </c>
      <c r="AW27" s="50"/>
      <c r="AX27" s="59" t="s">
        <v>97</v>
      </c>
      <c r="AY27" s="1">
        <v>5</v>
      </c>
      <c r="AZ27" s="56">
        <v>45484</v>
      </c>
      <c r="BA27" s="50">
        <v>1</v>
      </c>
      <c r="BB27" s="50">
        <v>0</v>
      </c>
      <c r="BC27" s="50">
        <f t="shared" si="12"/>
        <v>1</v>
      </c>
      <c r="BD27" s="50" t="s">
        <v>252</v>
      </c>
      <c r="BE27" s="57" t="s">
        <v>250</v>
      </c>
      <c r="BG27" s="50"/>
      <c r="BH27" s="59" t="s">
        <v>97</v>
      </c>
      <c r="BI27" s="1">
        <v>6</v>
      </c>
      <c r="BJ27" s="56">
        <v>45491</v>
      </c>
      <c r="BK27" s="50">
        <v>12</v>
      </c>
      <c r="BL27" s="50">
        <v>12</v>
      </c>
      <c r="BM27" s="50">
        <f t="shared" si="13"/>
        <v>24</v>
      </c>
      <c r="BN27" s="50" t="s">
        <v>252</v>
      </c>
      <c r="BO27" s="57" t="s">
        <v>252</v>
      </c>
      <c r="BQ27" s="50"/>
      <c r="BR27" s="59" t="s">
        <v>97</v>
      </c>
      <c r="BS27" s="1">
        <v>7</v>
      </c>
      <c r="BT27" s="56">
        <v>45498</v>
      </c>
      <c r="BU27" s="50">
        <v>8</v>
      </c>
      <c r="BV27" s="50">
        <v>2</v>
      </c>
      <c r="BW27" s="50">
        <f t="shared" si="7"/>
        <v>10</v>
      </c>
      <c r="BX27" s="50" t="s">
        <v>252</v>
      </c>
      <c r="BY27" s="50" t="s">
        <v>252</v>
      </c>
      <c r="CC27" s="77" t="s">
        <v>97</v>
      </c>
      <c r="CD27" s="78">
        <f t="shared" si="2"/>
        <v>50</v>
      </c>
      <c r="CF27" s="28" t="s">
        <v>96</v>
      </c>
      <c r="CG27" s="29">
        <f>SUM(CD83,CD85,CD90:CD92,CD97,CD109,CD112,CD115:CD117,CD124,CD126:CD127,CD142:CD144,CD146)</f>
        <v>354</v>
      </c>
      <c r="CH27" s="29" cm="1">
        <f t="array" aca="1" ref="CH27" ca="1">SUM(COUNTIF(INDIRECT({"CD83","CD85","CD90:CD92","CD97","CD109","CD112","CD115:CD117","CD124","CD126:CD127","CD142:CD144","CD146"}),"&lt;&gt;"))</f>
        <v>18</v>
      </c>
      <c r="CI27" s="29" cm="1">
        <f t="array" aca="1" ref="CI27" ca="1">SUM(COUNTIF(INDIRECT({"CD83","CD85","CD90:CD92","CD97","CD109","CD112","CD115:CD117","CD124","CD126:CD127","CD142:CD144","CD146"}),"&gt;0"))</f>
        <v>15</v>
      </c>
      <c r="CJ27" s="41">
        <f t="shared" ca="1" si="29"/>
        <v>83.333333333333343</v>
      </c>
    </row>
    <row r="28" spans="1:88" ht="14.4" x14ac:dyDescent="0.3">
      <c r="A28" s="50" t="s">
        <v>99</v>
      </c>
      <c r="B28" s="50" t="s">
        <v>81</v>
      </c>
      <c r="C28" s="68">
        <v>32.444719999999997</v>
      </c>
      <c r="D28" s="68">
        <v>-83.505449999999996</v>
      </c>
      <c r="E28" s="70">
        <v>45429</v>
      </c>
      <c r="F28" s="70">
        <v>45449</v>
      </c>
      <c r="G28" s="67">
        <v>45498</v>
      </c>
      <c r="H28" s="1" t="s">
        <v>25</v>
      </c>
      <c r="I28" s="1" t="s">
        <v>26</v>
      </c>
      <c r="J28" s="59" t="s">
        <v>99</v>
      </c>
      <c r="K28" s="6">
        <v>1</v>
      </c>
      <c r="L28" s="56">
        <v>45456</v>
      </c>
      <c r="M28" s="50">
        <v>22</v>
      </c>
      <c r="N28" s="50">
        <v>8</v>
      </c>
      <c r="O28" s="50">
        <f t="shared" si="3"/>
        <v>30</v>
      </c>
      <c r="P28" s="50" t="s">
        <v>252</v>
      </c>
      <c r="Q28" s="57" t="s">
        <v>252</v>
      </c>
      <c r="R28" s="57" t="s">
        <v>271</v>
      </c>
      <c r="T28" s="59" t="s">
        <v>99</v>
      </c>
      <c r="U28" s="6">
        <v>2</v>
      </c>
      <c r="V28" s="56">
        <v>45463</v>
      </c>
      <c r="W28" s="50">
        <v>7</v>
      </c>
      <c r="X28" s="50">
        <v>11</v>
      </c>
      <c r="Y28" s="50">
        <f t="shared" si="4"/>
        <v>18</v>
      </c>
      <c r="Z28" s="50" t="s">
        <v>252</v>
      </c>
      <c r="AA28" s="57" t="s">
        <v>252</v>
      </c>
      <c r="AC28" s="50"/>
      <c r="AD28" s="59" t="s">
        <v>99</v>
      </c>
      <c r="AE28" s="1">
        <v>3</v>
      </c>
      <c r="AF28" s="56">
        <v>45470</v>
      </c>
      <c r="AG28" s="50">
        <v>4</v>
      </c>
      <c r="AH28" s="50">
        <v>5</v>
      </c>
      <c r="AI28" s="50">
        <f t="shared" si="5"/>
        <v>9</v>
      </c>
      <c r="AJ28" s="50" t="s">
        <v>252</v>
      </c>
      <c r="AK28" s="57" t="s">
        <v>252</v>
      </c>
      <c r="AM28" s="50"/>
      <c r="AN28" s="59" t="s">
        <v>99</v>
      </c>
      <c r="AO28" s="1">
        <v>4</v>
      </c>
      <c r="AP28" s="56">
        <v>45477</v>
      </c>
      <c r="AQ28" s="50">
        <v>3</v>
      </c>
      <c r="AR28" s="50">
        <v>9</v>
      </c>
      <c r="AS28" s="50">
        <f t="shared" si="6"/>
        <v>12</v>
      </c>
      <c r="AT28" s="50" t="s">
        <v>252</v>
      </c>
      <c r="AU28" s="57" t="s">
        <v>250</v>
      </c>
      <c r="AW28" s="50"/>
      <c r="AX28" s="59" t="s">
        <v>99</v>
      </c>
      <c r="AY28" s="1">
        <v>5</v>
      </c>
      <c r="AZ28" s="56">
        <v>45484</v>
      </c>
      <c r="BA28" s="50">
        <v>3</v>
      </c>
      <c r="BB28" s="50">
        <v>3</v>
      </c>
      <c r="BC28" s="50">
        <f t="shared" si="12"/>
        <v>6</v>
      </c>
      <c r="BD28" s="50" t="s">
        <v>252</v>
      </c>
      <c r="BE28" s="57" t="s">
        <v>252</v>
      </c>
      <c r="BG28" s="50"/>
      <c r="BH28" s="59" t="s">
        <v>99</v>
      </c>
      <c r="BI28" s="1">
        <v>6</v>
      </c>
      <c r="BJ28" s="56">
        <v>45491</v>
      </c>
      <c r="BK28" s="50">
        <v>11</v>
      </c>
      <c r="BL28" s="50">
        <v>5</v>
      </c>
      <c r="BM28" s="50">
        <f t="shared" si="13"/>
        <v>16</v>
      </c>
      <c r="BN28" s="50" t="s">
        <v>252</v>
      </c>
      <c r="BO28" s="57" t="s">
        <v>252</v>
      </c>
      <c r="BQ28" s="50"/>
      <c r="BR28" s="59" t="s">
        <v>99</v>
      </c>
      <c r="BS28" s="1">
        <v>7</v>
      </c>
      <c r="BT28" s="56">
        <v>45498</v>
      </c>
      <c r="BU28" s="50">
        <v>2</v>
      </c>
      <c r="BV28" s="50">
        <v>8</v>
      </c>
      <c r="BW28" s="50">
        <f t="shared" si="7"/>
        <v>10</v>
      </c>
      <c r="BX28" s="50" t="s">
        <v>252</v>
      </c>
      <c r="BY28" s="50" t="s">
        <v>252</v>
      </c>
      <c r="CC28" s="77" t="s">
        <v>99</v>
      </c>
      <c r="CD28" s="78">
        <f t="shared" si="2"/>
        <v>101</v>
      </c>
      <c r="CF28" s="28" t="s">
        <v>98</v>
      </c>
      <c r="CG28" s="29">
        <f>SUM(CD114,CD121:CD122)</f>
        <v>35</v>
      </c>
      <c r="CH28" s="29" cm="1">
        <f t="array" aca="1" ref="CH28" ca="1">SUM(COUNTIF(INDIRECT({"CD114","CD121:CD122"}),"&lt;&gt;"))</f>
        <v>3</v>
      </c>
      <c r="CI28" s="29" cm="1">
        <f t="array" aca="1" ref="CI28" ca="1">SUM(COUNTIF(INDIRECT({"CD114","CD121:CD122"}),"&gt;0"))</f>
        <v>1</v>
      </c>
      <c r="CJ28" s="41">
        <f t="shared" ca="1" si="29"/>
        <v>33.333333333333329</v>
      </c>
    </row>
    <row r="29" spans="1:88" thickBot="1" x14ac:dyDescent="0.35">
      <c r="A29" s="50" t="s">
        <v>101</v>
      </c>
      <c r="B29" s="50" t="s">
        <v>81</v>
      </c>
      <c r="C29" s="68">
        <v>32.45919</v>
      </c>
      <c r="D29" s="68">
        <v>-83.570359999999994</v>
      </c>
      <c r="E29" s="70">
        <v>45424</v>
      </c>
      <c r="F29" s="70">
        <v>45449</v>
      </c>
      <c r="G29" s="67">
        <v>45498</v>
      </c>
      <c r="H29" s="1" t="s">
        <v>25</v>
      </c>
      <c r="I29" s="1" t="s">
        <v>26</v>
      </c>
      <c r="J29" s="59" t="s">
        <v>101</v>
      </c>
      <c r="K29" s="6">
        <v>1</v>
      </c>
      <c r="L29" s="56">
        <v>45456</v>
      </c>
      <c r="M29" s="50">
        <v>5</v>
      </c>
      <c r="N29" s="50">
        <v>4</v>
      </c>
      <c r="O29" s="50">
        <f t="shared" si="3"/>
        <v>9</v>
      </c>
      <c r="P29" s="50" t="s">
        <v>252</v>
      </c>
      <c r="Q29" s="57" t="s">
        <v>250</v>
      </c>
      <c r="T29" s="59" t="s">
        <v>101</v>
      </c>
      <c r="U29" s="6">
        <v>2</v>
      </c>
      <c r="V29" s="56">
        <v>45463</v>
      </c>
      <c r="W29" s="50">
        <v>7</v>
      </c>
      <c r="X29" s="50">
        <v>3</v>
      </c>
      <c r="Y29" s="50">
        <f t="shared" si="4"/>
        <v>10</v>
      </c>
      <c r="Z29" s="50" t="s">
        <v>252</v>
      </c>
      <c r="AA29" s="57" t="s">
        <v>250</v>
      </c>
      <c r="AC29" s="50"/>
      <c r="AD29" s="59" t="s">
        <v>101</v>
      </c>
      <c r="AE29" s="1">
        <v>3</v>
      </c>
      <c r="AF29" s="56">
        <v>45470</v>
      </c>
      <c r="AG29" s="50">
        <v>1</v>
      </c>
      <c r="AH29" s="50">
        <v>0</v>
      </c>
      <c r="AI29" s="50">
        <f t="shared" si="5"/>
        <v>1</v>
      </c>
      <c r="AJ29" s="50" t="s">
        <v>252</v>
      </c>
      <c r="AK29" s="57" t="s">
        <v>252</v>
      </c>
      <c r="AM29" s="50"/>
      <c r="AN29" s="59" t="s">
        <v>101</v>
      </c>
      <c r="AO29" s="1">
        <v>4</v>
      </c>
      <c r="AP29" s="56">
        <v>45477</v>
      </c>
      <c r="AQ29" s="50">
        <v>0</v>
      </c>
      <c r="AR29" s="50">
        <v>0</v>
      </c>
      <c r="AS29" s="50">
        <f t="shared" si="6"/>
        <v>0</v>
      </c>
      <c r="AT29" s="50" t="s">
        <v>250</v>
      </c>
      <c r="AU29" s="57" t="s">
        <v>250</v>
      </c>
      <c r="AW29" s="50"/>
      <c r="AX29" s="59" t="s">
        <v>101</v>
      </c>
      <c r="AY29" s="1">
        <v>5</v>
      </c>
      <c r="AZ29" s="56">
        <v>45484</v>
      </c>
      <c r="BA29" s="50">
        <v>0</v>
      </c>
      <c r="BB29" s="50">
        <v>1</v>
      </c>
      <c r="BC29" s="50">
        <f t="shared" si="12"/>
        <v>1</v>
      </c>
      <c r="BD29" s="50" t="s">
        <v>252</v>
      </c>
      <c r="BE29" s="57" t="s">
        <v>250</v>
      </c>
      <c r="BG29" s="50"/>
      <c r="BH29" s="59" t="s">
        <v>101</v>
      </c>
      <c r="BI29" s="1">
        <v>6</v>
      </c>
      <c r="BJ29" s="56">
        <v>45491</v>
      </c>
      <c r="BK29" s="50">
        <v>2</v>
      </c>
      <c r="BL29" s="50">
        <v>3</v>
      </c>
      <c r="BM29" s="50">
        <f t="shared" si="13"/>
        <v>5</v>
      </c>
      <c r="BN29" s="50" t="s">
        <v>252</v>
      </c>
      <c r="BO29" s="57" t="s">
        <v>250</v>
      </c>
      <c r="BP29" s="50" t="s">
        <v>288</v>
      </c>
      <c r="BQ29" s="50"/>
      <c r="BR29" s="59" t="s">
        <v>101</v>
      </c>
      <c r="BS29" s="1">
        <v>7</v>
      </c>
      <c r="BT29" s="56">
        <v>45498</v>
      </c>
      <c r="BU29" s="50">
        <v>9</v>
      </c>
      <c r="BV29" s="50">
        <v>4</v>
      </c>
      <c r="BW29" s="50">
        <f t="shared" si="7"/>
        <v>13</v>
      </c>
      <c r="BX29" s="50" t="s">
        <v>252</v>
      </c>
      <c r="BY29" s="50" t="s">
        <v>252</v>
      </c>
      <c r="CC29" s="77" t="s">
        <v>101</v>
      </c>
      <c r="CD29" s="78">
        <f t="shared" si="2"/>
        <v>39</v>
      </c>
      <c r="CF29" s="28" t="s">
        <v>275</v>
      </c>
      <c r="CG29" s="29">
        <f>SUM(CD136:CD137)</f>
        <v>3</v>
      </c>
      <c r="CH29" s="29">
        <f>COUNTIF(CD136:CD137,"&lt;&gt;")</f>
        <v>2</v>
      </c>
      <c r="CI29" s="29">
        <f>COUNTIF(CD136:CD137,"&gt;0")</f>
        <v>2</v>
      </c>
      <c r="CJ29" s="41">
        <f t="shared" si="29"/>
        <v>100</v>
      </c>
    </row>
    <row r="30" spans="1:88" thickBot="1" x14ac:dyDescent="0.35">
      <c r="A30" s="50" t="s">
        <v>102</v>
      </c>
      <c r="B30" s="50" t="s">
        <v>81</v>
      </c>
      <c r="C30" s="68">
        <v>32.459400000000002</v>
      </c>
      <c r="D30" s="68">
        <v>-83.556150000000002</v>
      </c>
      <c r="E30" s="70">
        <v>45424</v>
      </c>
      <c r="F30" s="70">
        <v>45449</v>
      </c>
      <c r="G30" s="67">
        <v>45498</v>
      </c>
      <c r="H30" s="1" t="s">
        <v>25</v>
      </c>
      <c r="I30" s="1" t="s">
        <v>26</v>
      </c>
      <c r="J30" s="59" t="s">
        <v>102</v>
      </c>
      <c r="K30" s="6">
        <v>1</v>
      </c>
      <c r="L30" s="56">
        <v>45456</v>
      </c>
      <c r="M30" s="50">
        <v>10</v>
      </c>
      <c r="N30" s="50">
        <v>12</v>
      </c>
      <c r="O30" s="50">
        <f t="shared" si="3"/>
        <v>22</v>
      </c>
      <c r="P30" s="50" t="s">
        <v>252</v>
      </c>
      <c r="Q30" s="57" t="s">
        <v>252</v>
      </c>
      <c r="T30" s="59" t="s">
        <v>102</v>
      </c>
      <c r="U30" s="6">
        <v>2</v>
      </c>
      <c r="V30" s="56">
        <v>45463</v>
      </c>
      <c r="W30" s="50">
        <v>0</v>
      </c>
      <c r="X30" s="50">
        <v>0</v>
      </c>
      <c r="Y30" s="50">
        <f t="shared" si="4"/>
        <v>0</v>
      </c>
      <c r="Z30" s="50" t="s">
        <v>250</v>
      </c>
      <c r="AA30" s="57" t="s">
        <v>250</v>
      </c>
      <c r="AC30" s="50"/>
      <c r="AD30" s="59" t="s">
        <v>102</v>
      </c>
      <c r="AE30" s="1">
        <v>3</v>
      </c>
      <c r="AF30" s="56">
        <v>45470</v>
      </c>
      <c r="AG30" s="50">
        <v>0</v>
      </c>
      <c r="AH30" s="50">
        <v>2</v>
      </c>
      <c r="AI30" s="50">
        <f t="shared" si="5"/>
        <v>2</v>
      </c>
      <c r="AJ30" s="50" t="s">
        <v>261</v>
      </c>
      <c r="AK30" s="57" t="s">
        <v>250</v>
      </c>
      <c r="AM30" s="50"/>
      <c r="AN30" s="59" t="s">
        <v>102</v>
      </c>
      <c r="AO30" s="1">
        <v>4</v>
      </c>
      <c r="AP30" s="56">
        <v>45477</v>
      </c>
      <c r="AQ30" s="50">
        <v>5</v>
      </c>
      <c r="AR30" s="50">
        <v>1</v>
      </c>
      <c r="AS30" s="50">
        <f t="shared" si="6"/>
        <v>6</v>
      </c>
      <c r="AT30" s="50" t="s">
        <v>252</v>
      </c>
      <c r="AU30" s="57" t="s">
        <v>252</v>
      </c>
      <c r="AW30" s="50"/>
      <c r="AX30" s="59" t="s">
        <v>102</v>
      </c>
      <c r="AY30" s="1">
        <v>5</v>
      </c>
      <c r="AZ30" s="56">
        <v>45484</v>
      </c>
      <c r="BA30" s="50">
        <v>0</v>
      </c>
      <c r="BB30" s="50">
        <v>1</v>
      </c>
      <c r="BC30" s="50">
        <f t="shared" si="12"/>
        <v>1</v>
      </c>
      <c r="BD30" s="50" t="s">
        <v>252</v>
      </c>
      <c r="BE30" s="57" t="s">
        <v>250</v>
      </c>
      <c r="BG30" s="50"/>
      <c r="BH30" s="59" t="s">
        <v>102</v>
      </c>
      <c r="BI30" s="1">
        <v>6</v>
      </c>
      <c r="BJ30" s="56">
        <v>45491</v>
      </c>
      <c r="BK30" s="50">
        <v>4</v>
      </c>
      <c r="BL30" s="50">
        <v>6</v>
      </c>
      <c r="BM30" s="50">
        <f t="shared" si="13"/>
        <v>10</v>
      </c>
      <c r="BN30" s="50" t="s">
        <v>252</v>
      </c>
      <c r="BO30" s="57" t="s">
        <v>252</v>
      </c>
      <c r="BQ30" s="50"/>
      <c r="BR30" s="59" t="s">
        <v>102</v>
      </c>
      <c r="BS30" s="1">
        <v>7</v>
      </c>
      <c r="BT30" s="56">
        <v>45498</v>
      </c>
      <c r="BU30" s="50">
        <v>3</v>
      </c>
      <c r="BV30" s="50">
        <v>2</v>
      </c>
      <c r="BW30" s="50">
        <f t="shared" si="7"/>
        <v>5</v>
      </c>
      <c r="BX30" s="50" t="s">
        <v>252</v>
      </c>
      <c r="BY30" s="50" t="s">
        <v>252</v>
      </c>
      <c r="CC30" s="77" t="s">
        <v>102</v>
      </c>
      <c r="CD30" s="78">
        <f t="shared" si="2"/>
        <v>46</v>
      </c>
      <c r="CF30" s="25" t="s">
        <v>100</v>
      </c>
      <c r="CG30" s="25">
        <f>SUM(CG11:CG29)</f>
        <v>3226</v>
      </c>
      <c r="CH30" s="25">
        <f ca="1">SUM(CH11:CH29)</f>
        <v>138</v>
      </c>
      <c r="CI30" s="25">
        <f ca="1">SUM(CI11:CI29)</f>
        <v>119</v>
      </c>
      <c r="CJ30" s="27">
        <f t="shared" ca="1" si="29"/>
        <v>86.231884057971016</v>
      </c>
    </row>
    <row r="31" spans="1:88" thickBot="1" x14ac:dyDescent="0.35">
      <c r="A31" s="50" t="s">
        <v>103</v>
      </c>
      <c r="B31" s="50" t="s">
        <v>81</v>
      </c>
      <c r="C31" s="68">
        <v>32.45655</v>
      </c>
      <c r="D31" s="68">
        <v>-83.543989999999994</v>
      </c>
      <c r="E31" s="70">
        <v>45424</v>
      </c>
      <c r="F31" s="70">
        <v>45449</v>
      </c>
      <c r="G31" s="67">
        <v>45498</v>
      </c>
      <c r="H31" s="1" t="s">
        <v>25</v>
      </c>
      <c r="I31" s="1" t="s">
        <v>26</v>
      </c>
      <c r="J31" s="59" t="s">
        <v>103</v>
      </c>
      <c r="K31" s="6">
        <v>1</v>
      </c>
      <c r="L31" s="56">
        <v>45456</v>
      </c>
      <c r="M31" s="50">
        <v>10</v>
      </c>
      <c r="N31" s="50">
        <v>15</v>
      </c>
      <c r="O31" s="50">
        <f t="shared" si="3"/>
        <v>25</v>
      </c>
      <c r="P31" s="50" t="s">
        <v>252</v>
      </c>
      <c r="Q31" s="57" t="s">
        <v>252</v>
      </c>
      <c r="T31" s="59" t="s">
        <v>103</v>
      </c>
      <c r="U31" s="6">
        <v>2</v>
      </c>
      <c r="V31" s="56">
        <v>45463</v>
      </c>
      <c r="W31" s="50">
        <v>6</v>
      </c>
      <c r="X31" s="50">
        <v>3</v>
      </c>
      <c r="Y31" s="50">
        <f t="shared" si="4"/>
        <v>9</v>
      </c>
      <c r="Z31" s="50" t="s">
        <v>252</v>
      </c>
      <c r="AA31" s="57" t="s">
        <v>250</v>
      </c>
      <c r="AC31" s="50"/>
      <c r="AD31" s="59" t="s">
        <v>103</v>
      </c>
      <c r="AE31" s="1">
        <v>3</v>
      </c>
      <c r="AF31" s="56">
        <v>45470</v>
      </c>
      <c r="AG31" s="50">
        <v>10</v>
      </c>
      <c r="AH31" s="50">
        <v>16</v>
      </c>
      <c r="AI31" s="50">
        <f t="shared" si="5"/>
        <v>26</v>
      </c>
      <c r="AJ31" s="50" t="s">
        <v>252</v>
      </c>
      <c r="AK31" s="57" t="s">
        <v>252</v>
      </c>
      <c r="AM31" s="50"/>
      <c r="AN31" s="59" t="s">
        <v>103</v>
      </c>
      <c r="AO31" s="1">
        <v>4</v>
      </c>
      <c r="AP31" s="56">
        <v>45477</v>
      </c>
      <c r="AQ31" s="50">
        <v>0</v>
      </c>
      <c r="AR31" s="50">
        <v>0</v>
      </c>
      <c r="AS31" s="50">
        <f t="shared" si="6"/>
        <v>0</v>
      </c>
      <c r="AT31" s="50" t="s">
        <v>250</v>
      </c>
      <c r="AU31" s="57" t="s">
        <v>250</v>
      </c>
      <c r="AW31" s="50"/>
      <c r="AX31" s="59" t="s">
        <v>103</v>
      </c>
      <c r="AY31" s="1">
        <v>5</v>
      </c>
      <c r="AZ31" s="56">
        <v>45484</v>
      </c>
      <c r="BA31" s="50">
        <v>0</v>
      </c>
      <c r="BB31" s="50">
        <v>6</v>
      </c>
      <c r="BC31" s="50">
        <f t="shared" si="12"/>
        <v>6</v>
      </c>
      <c r="BD31" s="50" t="s">
        <v>252</v>
      </c>
      <c r="BE31" s="57" t="s">
        <v>250</v>
      </c>
      <c r="BG31" s="50"/>
      <c r="BH31" s="59" t="s">
        <v>103</v>
      </c>
      <c r="BI31" s="1">
        <v>6</v>
      </c>
      <c r="BJ31" s="56">
        <v>45491</v>
      </c>
      <c r="BK31" s="50">
        <v>13</v>
      </c>
      <c r="BL31" s="50">
        <v>20</v>
      </c>
      <c r="BM31" s="50">
        <f t="shared" si="13"/>
        <v>33</v>
      </c>
      <c r="BN31" s="50" t="s">
        <v>252</v>
      </c>
      <c r="BO31" s="57" t="s">
        <v>252</v>
      </c>
      <c r="BQ31" s="50"/>
      <c r="BR31" s="59" t="s">
        <v>103</v>
      </c>
      <c r="BS31" s="1">
        <v>7</v>
      </c>
      <c r="BT31" s="56">
        <v>45498</v>
      </c>
      <c r="BU31" s="50">
        <v>3</v>
      </c>
      <c r="BV31" s="50">
        <v>15</v>
      </c>
      <c r="BW31" s="50">
        <f t="shared" si="7"/>
        <v>18</v>
      </c>
      <c r="BX31" s="50" t="s">
        <v>252</v>
      </c>
      <c r="BY31" s="50" t="s">
        <v>252</v>
      </c>
      <c r="CC31" s="77" t="s">
        <v>103</v>
      </c>
      <c r="CD31" s="78">
        <f t="shared" si="2"/>
        <v>117</v>
      </c>
    </row>
    <row r="32" spans="1:88" thickBot="1" x14ac:dyDescent="0.35">
      <c r="A32" s="50" t="s">
        <v>104</v>
      </c>
      <c r="B32" s="50" t="s">
        <v>81</v>
      </c>
      <c r="C32" s="68">
        <v>32.451880000000003</v>
      </c>
      <c r="D32" s="68">
        <v>-83.534310000000005</v>
      </c>
      <c r="E32" s="70">
        <v>45424</v>
      </c>
      <c r="F32" s="70">
        <v>45449</v>
      </c>
      <c r="G32" s="67">
        <v>45498</v>
      </c>
      <c r="H32" s="1" t="s">
        <v>25</v>
      </c>
      <c r="I32" s="1" t="s">
        <v>26</v>
      </c>
      <c r="J32" s="59" t="s">
        <v>104</v>
      </c>
      <c r="K32" s="6">
        <v>1</v>
      </c>
      <c r="L32" s="56">
        <v>45456</v>
      </c>
      <c r="M32" s="50">
        <v>5</v>
      </c>
      <c r="N32" s="50">
        <v>9</v>
      </c>
      <c r="O32" s="50">
        <f t="shared" si="3"/>
        <v>14</v>
      </c>
      <c r="P32" s="50" t="s">
        <v>252</v>
      </c>
      <c r="Q32" s="57" t="s">
        <v>250</v>
      </c>
      <c r="T32" s="59" t="s">
        <v>104</v>
      </c>
      <c r="U32" s="6">
        <v>2</v>
      </c>
      <c r="V32" s="56">
        <v>45463</v>
      </c>
      <c r="W32" s="50">
        <v>0</v>
      </c>
      <c r="X32" s="50">
        <v>0</v>
      </c>
      <c r="Y32" s="50">
        <f t="shared" si="4"/>
        <v>0</v>
      </c>
      <c r="Z32" s="50" t="s">
        <v>250</v>
      </c>
      <c r="AA32" s="57" t="s">
        <v>250</v>
      </c>
      <c r="AC32" s="50"/>
      <c r="AD32" s="59" t="s">
        <v>104</v>
      </c>
      <c r="AE32" s="1">
        <v>3</v>
      </c>
      <c r="AF32" s="56">
        <v>45470</v>
      </c>
      <c r="AG32" s="50">
        <v>14</v>
      </c>
      <c r="AH32" s="50">
        <v>20</v>
      </c>
      <c r="AI32" s="50">
        <f t="shared" si="5"/>
        <v>34</v>
      </c>
      <c r="AJ32" s="50" t="s">
        <v>252</v>
      </c>
      <c r="AK32" s="57" t="s">
        <v>250</v>
      </c>
      <c r="AM32" s="50"/>
      <c r="AN32" s="59" t="s">
        <v>104</v>
      </c>
      <c r="AO32" s="1">
        <v>4</v>
      </c>
      <c r="AP32" s="56">
        <v>45477</v>
      </c>
      <c r="AQ32" s="50">
        <v>4</v>
      </c>
      <c r="AR32" s="50">
        <v>6</v>
      </c>
      <c r="AS32" s="50">
        <f t="shared" si="6"/>
        <v>10</v>
      </c>
      <c r="AT32" s="50" t="s">
        <v>252</v>
      </c>
      <c r="AU32" s="57" t="s">
        <v>250</v>
      </c>
      <c r="AW32" s="50"/>
      <c r="AX32" s="59" t="s">
        <v>104</v>
      </c>
      <c r="AY32" s="1">
        <v>5</v>
      </c>
      <c r="AZ32" s="56">
        <v>45484</v>
      </c>
      <c r="BA32" s="50">
        <v>5</v>
      </c>
      <c r="BB32" s="50">
        <v>7</v>
      </c>
      <c r="BC32" s="50">
        <f t="shared" si="12"/>
        <v>12</v>
      </c>
      <c r="BD32" s="50" t="s">
        <v>252</v>
      </c>
      <c r="BE32" s="57" t="s">
        <v>252</v>
      </c>
      <c r="BG32" s="50"/>
      <c r="BH32" s="59" t="s">
        <v>104</v>
      </c>
      <c r="BI32" s="1">
        <v>6</v>
      </c>
      <c r="BJ32" s="56">
        <v>45491</v>
      </c>
      <c r="BK32" s="50">
        <v>5</v>
      </c>
      <c r="BL32" s="50">
        <v>8</v>
      </c>
      <c r="BM32" s="50">
        <f t="shared" si="13"/>
        <v>13</v>
      </c>
      <c r="BN32" s="50" t="s">
        <v>252</v>
      </c>
      <c r="BO32" s="57" t="s">
        <v>252</v>
      </c>
      <c r="BQ32" s="50"/>
      <c r="BR32" s="59" t="s">
        <v>104</v>
      </c>
      <c r="BS32" s="1">
        <v>7</v>
      </c>
      <c r="BT32" s="56">
        <v>45498</v>
      </c>
      <c r="BU32" s="50">
        <v>6</v>
      </c>
      <c r="BV32" s="50">
        <v>11</v>
      </c>
      <c r="BW32" s="50">
        <f t="shared" si="7"/>
        <v>17</v>
      </c>
      <c r="BX32" s="50" t="s">
        <v>252</v>
      </c>
      <c r="BY32" s="50" t="s">
        <v>252</v>
      </c>
      <c r="CC32" s="77" t="s">
        <v>104</v>
      </c>
      <c r="CD32" s="78">
        <f t="shared" si="2"/>
        <v>100</v>
      </c>
      <c r="CF32" s="114" t="s">
        <v>313</v>
      </c>
      <c r="CG32" s="115"/>
      <c r="CH32" s="100"/>
      <c r="CI32" s="114" t="s">
        <v>314</v>
      </c>
      <c r="CJ32" s="115"/>
    </row>
    <row r="33" spans="1:88" ht="14.4" x14ac:dyDescent="0.3">
      <c r="A33" s="50" t="s">
        <v>105</v>
      </c>
      <c r="B33" s="50" t="s">
        <v>81</v>
      </c>
      <c r="C33" s="68">
        <v>32.451729999999998</v>
      </c>
      <c r="D33" s="68">
        <v>-83.514070000000004</v>
      </c>
      <c r="E33" s="70">
        <v>45441</v>
      </c>
      <c r="F33" s="70">
        <v>45449</v>
      </c>
      <c r="G33" s="67">
        <v>45498</v>
      </c>
      <c r="H33" s="1" t="s">
        <v>25</v>
      </c>
      <c r="I33" s="1" t="s">
        <v>26</v>
      </c>
      <c r="J33" s="59" t="s">
        <v>105</v>
      </c>
      <c r="K33" s="6">
        <v>1</v>
      </c>
      <c r="L33" s="56">
        <v>45456</v>
      </c>
      <c r="M33" s="50">
        <v>6</v>
      </c>
      <c r="N33" s="50">
        <v>2</v>
      </c>
      <c r="O33" s="50">
        <f t="shared" si="3"/>
        <v>8</v>
      </c>
      <c r="P33" s="50" t="s">
        <v>252</v>
      </c>
      <c r="Q33" s="57" t="s">
        <v>252</v>
      </c>
      <c r="T33" s="59" t="s">
        <v>105</v>
      </c>
      <c r="U33" s="6">
        <v>2</v>
      </c>
      <c r="V33" s="56">
        <v>45463</v>
      </c>
      <c r="W33" s="50">
        <v>0</v>
      </c>
      <c r="X33" s="50">
        <v>0</v>
      </c>
      <c r="Y33" s="50">
        <f>SUM(W33+X33)</f>
        <v>0</v>
      </c>
      <c r="Z33" s="50" t="s">
        <v>250</v>
      </c>
      <c r="AA33" s="57" t="s">
        <v>250</v>
      </c>
      <c r="AC33" s="50"/>
      <c r="AD33" s="59" t="s">
        <v>105</v>
      </c>
      <c r="AE33" s="1">
        <v>3</v>
      </c>
      <c r="AF33" s="56">
        <v>45470</v>
      </c>
      <c r="AG33" s="50">
        <v>3</v>
      </c>
      <c r="AH33" s="50">
        <v>4</v>
      </c>
      <c r="AI33" s="50">
        <f t="shared" si="5"/>
        <v>7</v>
      </c>
      <c r="AJ33" s="50" t="s">
        <v>252</v>
      </c>
      <c r="AK33" s="57" t="s">
        <v>250</v>
      </c>
      <c r="AM33" s="50" t="s">
        <v>295</v>
      </c>
      <c r="AN33" s="59" t="s">
        <v>105</v>
      </c>
      <c r="AO33" s="1">
        <v>4</v>
      </c>
      <c r="AP33" s="56">
        <v>45477</v>
      </c>
      <c r="AQ33" s="50">
        <v>3</v>
      </c>
      <c r="AR33" s="50">
        <v>3</v>
      </c>
      <c r="AS33" s="50">
        <f t="shared" si="6"/>
        <v>6</v>
      </c>
      <c r="AT33" s="50" t="s">
        <v>252</v>
      </c>
      <c r="AU33" s="57" t="s">
        <v>250</v>
      </c>
      <c r="AW33" s="50"/>
      <c r="AX33" s="59" t="s">
        <v>105</v>
      </c>
      <c r="AY33" s="1">
        <v>5</v>
      </c>
      <c r="AZ33" s="56">
        <v>45484</v>
      </c>
      <c r="BA33" s="50">
        <v>6</v>
      </c>
      <c r="BB33" s="50">
        <v>4</v>
      </c>
      <c r="BC33" s="50">
        <f t="shared" si="12"/>
        <v>10</v>
      </c>
      <c r="BD33" s="50" t="s">
        <v>252</v>
      </c>
      <c r="BE33" s="57" t="s">
        <v>250</v>
      </c>
      <c r="BG33" s="50"/>
      <c r="BH33" s="59" t="s">
        <v>105</v>
      </c>
      <c r="BI33" s="1">
        <v>6</v>
      </c>
      <c r="BJ33" s="56">
        <v>45491</v>
      </c>
      <c r="BK33" s="50">
        <v>11</v>
      </c>
      <c r="BL33" s="50">
        <v>18</v>
      </c>
      <c r="BM33" s="50">
        <f t="shared" si="13"/>
        <v>29</v>
      </c>
      <c r="BN33" s="50" t="s">
        <v>252</v>
      </c>
      <c r="BO33" s="57" t="s">
        <v>252</v>
      </c>
      <c r="BQ33" s="50"/>
      <c r="BR33" s="59" t="s">
        <v>105</v>
      </c>
      <c r="BS33" s="1">
        <v>7</v>
      </c>
      <c r="BT33" s="56">
        <v>45498</v>
      </c>
      <c r="BU33" s="50">
        <v>24</v>
      </c>
      <c r="BV33" s="50">
        <v>20</v>
      </c>
      <c r="BW33" s="50">
        <f t="shared" si="7"/>
        <v>44</v>
      </c>
      <c r="BX33" s="50" t="s">
        <v>252</v>
      </c>
      <c r="BY33" s="50" t="s">
        <v>252</v>
      </c>
      <c r="CC33" s="77" t="s">
        <v>105</v>
      </c>
      <c r="CD33" s="78">
        <f t="shared" si="2"/>
        <v>104</v>
      </c>
      <c r="CF33" s="101" t="s">
        <v>310</v>
      </c>
      <c r="CG33" s="74">
        <v>3004</v>
      </c>
      <c r="CI33" s="104" t="s">
        <v>305</v>
      </c>
      <c r="CJ33" s="74"/>
    </row>
    <row r="34" spans="1:88" ht="14.4" x14ac:dyDescent="0.3">
      <c r="A34" s="50" t="s">
        <v>106</v>
      </c>
      <c r="B34" s="50" t="s">
        <v>81</v>
      </c>
      <c r="C34" s="68">
        <v>32.457999999999998</v>
      </c>
      <c r="D34" s="68">
        <v>-83.523340000000005</v>
      </c>
      <c r="E34" s="70">
        <v>45429</v>
      </c>
      <c r="F34" s="70">
        <v>45449</v>
      </c>
      <c r="G34" s="67">
        <v>45498</v>
      </c>
      <c r="H34" s="1" t="s">
        <v>25</v>
      </c>
      <c r="I34" s="1" t="s">
        <v>26</v>
      </c>
      <c r="J34" s="59" t="s">
        <v>106</v>
      </c>
      <c r="K34" s="6">
        <v>1</v>
      </c>
      <c r="L34" s="56">
        <v>45456</v>
      </c>
      <c r="M34" s="50">
        <v>0</v>
      </c>
      <c r="O34" s="50">
        <v>1</v>
      </c>
      <c r="P34" s="50" t="s">
        <v>252</v>
      </c>
      <c r="Q34" s="57" t="s">
        <v>250</v>
      </c>
      <c r="T34" s="59" t="s">
        <v>106</v>
      </c>
      <c r="U34" s="6">
        <v>2</v>
      </c>
      <c r="V34" s="56">
        <v>45463</v>
      </c>
      <c r="W34" s="50">
        <v>0</v>
      </c>
      <c r="X34" s="50">
        <v>0</v>
      </c>
      <c r="Y34" s="50">
        <f>SUM(W34+X34)</f>
        <v>0</v>
      </c>
      <c r="Z34" s="50" t="s">
        <v>250</v>
      </c>
      <c r="AA34" s="57" t="s">
        <v>250</v>
      </c>
      <c r="AC34" s="50"/>
      <c r="AD34" s="59" t="s">
        <v>106</v>
      </c>
      <c r="AE34" s="1">
        <v>3</v>
      </c>
      <c r="AF34" s="56">
        <v>45470</v>
      </c>
      <c r="AG34" s="50">
        <v>1</v>
      </c>
      <c r="AH34" s="50">
        <v>0</v>
      </c>
      <c r="AI34" s="50">
        <f t="shared" si="5"/>
        <v>1</v>
      </c>
      <c r="AJ34" s="50" t="s">
        <v>261</v>
      </c>
      <c r="AK34" s="57" t="s">
        <v>250</v>
      </c>
      <c r="AM34" s="50"/>
      <c r="AN34" s="59" t="s">
        <v>106</v>
      </c>
      <c r="AO34" s="1">
        <v>4</v>
      </c>
      <c r="AP34" s="56">
        <v>45477</v>
      </c>
      <c r="AQ34" s="50">
        <v>0</v>
      </c>
      <c r="AR34" s="50">
        <v>1</v>
      </c>
      <c r="AS34" s="50">
        <f t="shared" si="6"/>
        <v>1</v>
      </c>
      <c r="AT34" s="50" t="s">
        <v>261</v>
      </c>
      <c r="AU34" s="57" t="s">
        <v>250</v>
      </c>
      <c r="AW34" s="50"/>
      <c r="AX34" s="59" t="s">
        <v>106</v>
      </c>
      <c r="AY34" s="1">
        <v>5</v>
      </c>
      <c r="AZ34" s="56">
        <v>45484</v>
      </c>
      <c r="BA34" s="50">
        <v>0</v>
      </c>
      <c r="BB34" s="50">
        <v>1</v>
      </c>
      <c r="BC34" s="50">
        <f t="shared" si="12"/>
        <v>1</v>
      </c>
      <c r="BD34" s="50" t="s">
        <v>252</v>
      </c>
      <c r="BE34" s="57" t="s">
        <v>250</v>
      </c>
      <c r="BG34" s="50"/>
      <c r="BH34" s="59" t="s">
        <v>106</v>
      </c>
      <c r="BI34" s="1">
        <v>6</v>
      </c>
      <c r="BJ34" s="56">
        <v>45491</v>
      </c>
      <c r="BK34" s="50">
        <v>18</v>
      </c>
      <c r="BL34" s="50">
        <v>13</v>
      </c>
      <c r="BM34" s="50">
        <f t="shared" si="13"/>
        <v>31</v>
      </c>
      <c r="BN34" s="50" t="s">
        <v>252</v>
      </c>
      <c r="BO34" s="57" t="s">
        <v>252</v>
      </c>
      <c r="BQ34" s="50"/>
      <c r="BR34" s="59" t="s">
        <v>106</v>
      </c>
      <c r="BS34" s="1">
        <v>7</v>
      </c>
      <c r="BT34" s="56">
        <v>45498</v>
      </c>
      <c r="BU34" s="50">
        <v>38</v>
      </c>
      <c r="BV34" s="50">
        <v>26</v>
      </c>
      <c r="BW34" s="50">
        <f t="shared" si="7"/>
        <v>64</v>
      </c>
      <c r="BX34" s="50" t="s">
        <v>252</v>
      </c>
      <c r="BY34" s="50" t="s">
        <v>252</v>
      </c>
      <c r="CC34" s="77" t="s">
        <v>106</v>
      </c>
      <c r="CD34" s="78">
        <f t="shared" ref="CD34:CD64" si="34">SUM(O34+Y34+AI34+AS34+BC34+BM34+BW34)</f>
        <v>99</v>
      </c>
      <c r="CF34" s="102" t="s">
        <v>311</v>
      </c>
      <c r="CG34" s="76">
        <v>1375</v>
      </c>
      <c r="CI34" s="107" t="s">
        <v>306</v>
      </c>
      <c r="CJ34" s="108"/>
    </row>
    <row r="35" spans="1:88" ht="14.4" x14ac:dyDescent="0.3">
      <c r="A35" s="50" t="s">
        <v>107</v>
      </c>
      <c r="B35" s="50" t="s">
        <v>81</v>
      </c>
      <c r="C35" s="68">
        <v>32.460859999999997</v>
      </c>
      <c r="D35" s="68">
        <v>-83.504180000000005</v>
      </c>
      <c r="E35" s="70">
        <v>45429</v>
      </c>
      <c r="F35" s="70">
        <v>45449</v>
      </c>
      <c r="G35" s="67">
        <v>45498</v>
      </c>
      <c r="H35" s="1" t="s">
        <v>25</v>
      </c>
      <c r="I35" s="1" t="s">
        <v>26</v>
      </c>
      <c r="J35" s="59" t="s">
        <v>107</v>
      </c>
      <c r="K35" s="6">
        <v>1</v>
      </c>
      <c r="L35" s="56">
        <v>45456</v>
      </c>
      <c r="M35" s="50">
        <v>2</v>
      </c>
      <c r="N35" s="50">
        <v>12</v>
      </c>
      <c r="O35" s="50">
        <f t="shared" si="3"/>
        <v>14</v>
      </c>
      <c r="P35" s="50" t="s">
        <v>252</v>
      </c>
      <c r="Q35" s="57" t="s">
        <v>252</v>
      </c>
      <c r="T35" s="59" t="s">
        <v>107</v>
      </c>
      <c r="U35" s="6">
        <v>2</v>
      </c>
      <c r="V35" s="56">
        <v>45463</v>
      </c>
      <c r="W35" s="50">
        <v>0</v>
      </c>
      <c r="X35" s="50">
        <v>0</v>
      </c>
      <c r="Y35" s="50">
        <f>SUM(W35+X35)</f>
        <v>0</v>
      </c>
      <c r="Z35" s="50" t="s">
        <v>250</v>
      </c>
      <c r="AA35" s="57" t="s">
        <v>250</v>
      </c>
      <c r="AC35" s="50"/>
      <c r="AD35" s="59" t="s">
        <v>107</v>
      </c>
      <c r="AE35" s="1">
        <v>3</v>
      </c>
      <c r="AF35" s="56">
        <v>45470</v>
      </c>
      <c r="AG35" s="50">
        <v>0</v>
      </c>
      <c r="AH35" s="50">
        <v>0</v>
      </c>
      <c r="AI35" s="50">
        <f t="shared" si="5"/>
        <v>0</v>
      </c>
      <c r="AJ35" s="50" t="s">
        <v>250</v>
      </c>
      <c r="AK35" s="57" t="s">
        <v>250</v>
      </c>
      <c r="AM35" s="50"/>
      <c r="AN35" s="59" t="s">
        <v>107</v>
      </c>
      <c r="AO35" s="1">
        <v>4</v>
      </c>
      <c r="AP35" s="56">
        <v>45477</v>
      </c>
      <c r="AQ35" s="50">
        <v>15</v>
      </c>
      <c r="AR35" s="50">
        <v>6</v>
      </c>
      <c r="AS35" s="50">
        <f t="shared" si="6"/>
        <v>21</v>
      </c>
      <c r="AT35" s="50" t="s">
        <v>252</v>
      </c>
      <c r="AU35" s="57" t="s">
        <v>250</v>
      </c>
      <c r="AW35" s="50"/>
      <c r="AX35" s="59" t="s">
        <v>107</v>
      </c>
      <c r="AY35" s="1">
        <v>5</v>
      </c>
      <c r="AZ35" s="56">
        <v>45484</v>
      </c>
      <c r="BA35" s="50">
        <v>4</v>
      </c>
      <c r="BB35" s="50">
        <v>0</v>
      </c>
      <c r="BC35" s="50">
        <f t="shared" si="12"/>
        <v>4</v>
      </c>
      <c r="BD35" s="50" t="s">
        <v>252</v>
      </c>
      <c r="BE35" s="57" t="s">
        <v>252</v>
      </c>
      <c r="BG35" s="50"/>
      <c r="BH35" s="59" t="s">
        <v>107</v>
      </c>
      <c r="BI35" s="1">
        <v>6</v>
      </c>
      <c r="BJ35" s="56">
        <v>45491</v>
      </c>
      <c r="BK35" s="50">
        <v>12</v>
      </c>
      <c r="BL35" s="50">
        <v>2</v>
      </c>
      <c r="BM35" s="50">
        <f t="shared" si="13"/>
        <v>14</v>
      </c>
      <c r="BN35" s="50" t="s">
        <v>252</v>
      </c>
      <c r="BO35" s="57" t="s">
        <v>252</v>
      </c>
      <c r="BQ35" s="50"/>
      <c r="BR35" s="59" t="s">
        <v>107</v>
      </c>
      <c r="BS35" s="1">
        <v>7</v>
      </c>
      <c r="BT35" s="56">
        <v>45498</v>
      </c>
      <c r="BU35" s="50">
        <v>6</v>
      </c>
      <c r="BV35" s="50">
        <v>6</v>
      </c>
      <c r="BW35" s="50">
        <f t="shared" si="7"/>
        <v>12</v>
      </c>
      <c r="BX35" s="50" t="s">
        <v>252</v>
      </c>
      <c r="BY35" s="50" t="s">
        <v>252</v>
      </c>
      <c r="CC35" s="77" t="s">
        <v>107</v>
      </c>
      <c r="CD35" s="78">
        <f t="shared" si="34"/>
        <v>65</v>
      </c>
      <c r="CF35" s="109" t="s">
        <v>312</v>
      </c>
      <c r="CG35" s="108">
        <v>500</v>
      </c>
      <c r="CI35" s="105" t="s">
        <v>280</v>
      </c>
      <c r="CJ35" s="76"/>
    </row>
    <row r="36" spans="1:88" ht="14.4" x14ac:dyDescent="0.3">
      <c r="A36" s="50" t="s">
        <v>108</v>
      </c>
      <c r="B36" s="50" t="s">
        <v>81</v>
      </c>
      <c r="C36" s="68">
        <v>32.470840000000003</v>
      </c>
      <c r="D36" s="68">
        <v>-83.573419999999999</v>
      </c>
      <c r="E36" s="70">
        <v>45425</v>
      </c>
      <c r="F36" s="70">
        <v>45449</v>
      </c>
      <c r="G36" s="67">
        <v>45498</v>
      </c>
      <c r="H36" s="1" t="s">
        <v>25</v>
      </c>
      <c r="I36" s="1" t="s">
        <v>26</v>
      </c>
      <c r="J36" s="59" t="s">
        <v>108</v>
      </c>
      <c r="K36" s="6">
        <v>1</v>
      </c>
      <c r="L36" s="56">
        <v>45456</v>
      </c>
      <c r="M36" s="50">
        <v>0</v>
      </c>
      <c r="N36" s="50">
        <v>0</v>
      </c>
      <c r="O36" s="50">
        <f>SUM(M36+N36)</f>
        <v>0</v>
      </c>
      <c r="P36" s="50" t="s">
        <v>250</v>
      </c>
      <c r="Q36" s="57" t="s">
        <v>250</v>
      </c>
      <c r="T36" s="59" t="s">
        <v>108</v>
      </c>
      <c r="U36" s="6">
        <v>2</v>
      </c>
      <c r="V36" s="56">
        <v>45463</v>
      </c>
      <c r="W36" s="50">
        <v>2</v>
      </c>
      <c r="X36" s="50">
        <v>3</v>
      </c>
      <c r="Y36" s="50">
        <f>SUM(W36+X36)</f>
        <v>5</v>
      </c>
      <c r="Z36" s="50" t="s">
        <v>252</v>
      </c>
      <c r="AA36" s="57" t="s">
        <v>250</v>
      </c>
      <c r="AC36" s="50"/>
      <c r="AD36" s="59" t="s">
        <v>108</v>
      </c>
      <c r="AE36" s="1">
        <v>3</v>
      </c>
      <c r="AF36" s="56">
        <v>45470</v>
      </c>
      <c r="AG36" s="50">
        <v>5</v>
      </c>
      <c r="AH36" s="50">
        <v>5</v>
      </c>
      <c r="AI36" s="50">
        <f>SUM(AG36+AH36)</f>
        <v>10</v>
      </c>
      <c r="AJ36" s="50" t="s">
        <v>252</v>
      </c>
      <c r="AK36" s="57" t="s">
        <v>250</v>
      </c>
      <c r="AM36" s="50"/>
      <c r="AN36" s="59" t="s">
        <v>108</v>
      </c>
      <c r="AO36" s="1">
        <v>4</v>
      </c>
      <c r="AP36" s="56">
        <v>45477</v>
      </c>
      <c r="AQ36" s="50">
        <v>0</v>
      </c>
      <c r="AR36" s="50">
        <v>2</v>
      </c>
      <c r="AS36" s="50">
        <f>SUM(AQ36+AR36)</f>
        <v>2</v>
      </c>
      <c r="AT36" s="50" t="s">
        <v>252</v>
      </c>
      <c r="AU36" s="57" t="s">
        <v>250</v>
      </c>
      <c r="AW36" s="50"/>
      <c r="AX36" s="59" t="s">
        <v>108</v>
      </c>
      <c r="AY36" s="1">
        <v>5</v>
      </c>
      <c r="AZ36" s="56">
        <v>45484</v>
      </c>
      <c r="BA36" s="50">
        <v>0</v>
      </c>
      <c r="BB36" s="50">
        <v>3</v>
      </c>
      <c r="BC36" s="50">
        <f>SUM(BA36+BB36)</f>
        <v>3</v>
      </c>
      <c r="BD36" s="50" t="s">
        <v>252</v>
      </c>
      <c r="BE36" s="57" t="s">
        <v>250</v>
      </c>
      <c r="BG36" s="50"/>
      <c r="BH36" s="59" t="s">
        <v>108</v>
      </c>
      <c r="BI36" s="1">
        <v>6</v>
      </c>
      <c r="BJ36" s="56">
        <v>45491</v>
      </c>
      <c r="BK36" s="50">
        <v>0</v>
      </c>
      <c r="BL36" s="50">
        <v>0</v>
      </c>
      <c r="BM36" s="50">
        <f>SUM(BK36+BL36)</f>
        <v>0</v>
      </c>
      <c r="BN36" s="50" t="s">
        <v>250</v>
      </c>
      <c r="BO36" s="57" t="s">
        <v>250</v>
      </c>
      <c r="BQ36" s="50"/>
      <c r="BR36" s="59" t="s">
        <v>108</v>
      </c>
      <c r="BS36" s="1">
        <v>7</v>
      </c>
      <c r="BT36" s="56">
        <v>45498</v>
      </c>
      <c r="BU36" s="50">
        <v>0</v>
      </c>
      <c r="BV36" s="50">
        <v>0</v>
      </c>
      <c r="BW36" s="50">
        <f>SUM(BU36+BV36)</f>
        <v>0</v>
      </c>
      <c r="BX36" s="50" t="s">
        <v>250</v>
      </c>
      <c r="BY36" s="50" t="s">
        <v>250</v>
      </c>
      <c r="CC36" s="77" t="s">
        <v>108</v>
      </c>
      <c r="CD36" s="78">
        <f>SUM(O36+Y36+AI36+AS36+BC36+BM36+BW36)</f>
        <v>20</v>
      </c>
      <c r="CF36" s="102" t="s">
        <v>307</v>
      </c>
      <c r="CG36" s="76">
        <v>119</v>
      </c>
      <c r="CI36" s="107" t="s">
        <v>279</v>
      </c>
      <c r="CJ36" s="108"/>
    </row>
    <row r="37" spans="1:88" ht="14.4" x14ac:dyDescent="0.3">
      <c r="A37" s="50" t="s">
        <v>109</v>
      </c>
      <c r="B37" s="50" t="s">
        <v>81</v>
      </c>
      <c r="C37" s="68">
        <v>32.468960000000003</v>
      </c>
      <c r="D37" s="68">
        <v>-83.555850000000007</v>
      </c>
      <c r="E37" s="70">
        <v>45429</v>
      </c>
      <c r="F37" s="70">
        <v>45449</v>
      </c>
      <c r="G37" s="67">
        <v>45498</v>
      </c>
      <c r="H37" s="1" t="s">
        <v>25</v>
      </c>
      <c r="I37" s="1" t="s">
        <v>26</v>
      </c>
      <c r="J37" s="59" t="s">
        <v>109</v>
      </c>
      <c r="K37" s="6">
        <v>1</v>
      </c>
      <c r="L37" s="56">
        <v>45456</v>
      </c>
      <c r="M37" s="50">
        <v>10</v>
      </c>
      <c r="N37" s="50">
        <v>1</v>
      </c>
      <c r="O37" s="50">
        <f t="shared" si="3"/>
        <v>11</v>
      </c>
      <c r="P37" s="50" t="s">
        <v>252</v>
      </c>
      <c r="Q37" s="57" t="s">
        <v>252</v>
      </c>
      <c r="T37" s="59" t="s">
        <v>109</v>
      </c>
      <c r="U37" s="6">
        <v>2</v>
      </c>
      <c r="V37" s="56">
        <v>45463</v>
      </c>
      <c r="W37" s="50">
        <v>2</v>
      </c>
      <c r="X37" s="50">
        <v>2</v>
      </c>
      <c r="Y37" s="50">
        <f t="shared" si="4"/>
        <v>4</v>
      </c>
      <c r="Z37" s="50" t="s">
        <v>252</v>
      </c>
      <c r="AA37" s="57" t="s">
        <v>250</v>
      </c>
      <c r="AC37" s="50"/>
      <c r="AD37" s="59" t="s">
        <v>109</v>
      </c>
      <c r="AE37" s="1">
        <v>3</v>
      </c>
      <c r="AF37" s="56">
        <v>45470</v>
      </c>
      <c r="AG37" s="50">
        <v>1</v>
      </c>
      <c r="AH37" s="50">
        <v>0</v>
      </c>
      <c r="AI37" s="50">
        <f t="shared" si="5"/>
        <v>1</v>
      </c>
      <c r="AJ37" s="50" t="s">
        <v>252</v>
      </c>
      <c r="AK37" s="57" t="s">
        <v>250</v>
      </c>
      <c r="AM37" s="50"/>
      <c r="AN37" s="59" t="s">
        <v>109</v>
      </c>
      <c r="AO37" s="1">
        <v>4</v>
      </c>
      <c r="AP37" s="56">
        <v>45477</v>
      </c>
      <c r="AQ37" s="50">
        <v>0</v>
      </c>
      <c r="AR37" s="50">
        <v>0</v>
      </c>
      <c r="AS37" s="50">
        <f t="shared" si="6"/>
        <v>0</v>
      </c>
      <c r="AT37" s="50" t="s">
        <v>250</v>
      </c>
      <c r="AU37" s="57" t="s">
        <v>250</v>
      </c>
      <c r="AW37" s="50"/>
      <c r="AX37" s="59" t="s">
        <v>109</v>
      </c>
      <c r="AY37" s="1">
        <v>5</v>
      </c>
      <c r="AZ37" s="56">
        <v>45484</v>
      </c>
      <c r="BA37" s="50">
        <v>1</v>
      </c>
      <c r="BB37" s="50">
        <v>2</v>
      </c>
      <c r="BC37" s="50">
        <f t="shared" si="12"/>
        <v>3</v>
      </c>
      <c r="BD37" s="50" t="s">
        <v>252</v>
      </c>
      <c r="BE37" s="57" t="s">
        <v>250</v>
      </c>
      <c r="BG37" s="50"/>
      <c r="BH37" s="59" t="s">
        <v>109</v>
      </c>
      <c r="BI37" s="1">
        <v>6</v>
      </c>
      <c r="BJ37" s="56">
        <v>45491</v>
      </c>
      <c r="BK37" s="50">
        <v>1</v>
      </c>
      <c r="BL37" s="50">
        <v>0</v>
      </c>
      <c r="BM37" s="50">
        <f t="shared" si="13"/>
        <v>1</v>
      </c>
      <c r="BN37" s="50" t="s">
        <v>252</v>
      </c>
      <c r="BO37" s="57" t="s">
        <v>250</v>
      </c>
      <c r="BQ37" s="50"/>
      <c r="BR37" s="59" t="s">
        <v>109</v>
      </c>
      <c r="BS37" s="1">
        <v>7</v>
      </c>
      <c r="BT37" s="56">
        <v>45498</v>
      </c>
      <c r="BU37" s="50">
        <v>5</v>
      </c>
      <c r="BV37" s="50">
        <v>13</v>
      </c>
      <c r="BW37" s="50">
        <f t="shared" si="7"/>
        <v>18</v>
      </c>
      <c r="BX37" s="50" t="s">
        <v>252</v>
      </c>
      <c r="BY37" s="50" t="s">
        <v>252</v>
      </c>
      <c r="CC37" s="77" t="s">
        <v>109</v>
      </c>
      <c r="CD37" s="78">
        <f t="shared" si="34"/>
        <v>38</v>
      </c>
      <c r="CF37" s="102" t="s">
        <v>308</v>
      </c>
      <c r="CG37" s="110"/>
      <c r="CI37" s="105" t="s">
        <v>281</v>
      </c>
      <c r="CJ37" s="76"/>
    </row>
    <row r="38" spans="1:88" thickBot="1" x14ac:dyDescent="0.35">
      <c r="A38" s="50" t="s">
        <v>111</v>
      </c>
      <c r="B38" s="50" t="s">
        <v>81</v>
      </c>
      <c r="C38" s="68">
        <v>32.472729999999999</v>
      </c>
      <c r="D38" s="68">
        <v>-83.539410000000004</v>
      </c>
      <c r="E38" s="70">
        <v>45429</v>
      </c>
      <c r="F38" s="70">
        <v>45449</v>
      </c>
      <c r="G38" s="67">
        <v>45498</v>
      </c>
      <c r="H38" s="1" t="s">
        <v>25</v>
      </c>
      <c r="I38" s="1" t="s">
        <v>26</v>
      </c>
      <c r="J38" s="59" t="s">
        <v>111</v>
      </c>
      <c r="K38" s="6">
        <v>1</v>
      </c>
      <c r="L38" s="56">
        <v>45456</v>
      </c>
      <c r="M38" s="50">
        <v>0</v>
      </c>
      <c r="N38" s="50">
        <v>0</v>
      </c>
      <c r="O38" s="50">
        <f t="shared" si="3"/>
        <v>0</v>
      </c>
      <c r="P38" s="50" t="s">
        <v>250</v>
      </c>
      <c r="Q38" s="57" t="s">
        <v>250</v>
      </c>
      <c r="T38" s="59" t="s">
        <v>111</v>
      </c>
      <c r="U38" s="6">
        <v>2</v>
      </c>
      <c r="V38" s="56">
        <v>45463</v>
      </c>
      <c r="W38" s="50">
        <v>0</v>
      </c>
      <c r="X38" s="50">
        <v>0</v>
      </c>
      <c r="Y38" s="50">
        <f t="shared" si="4"/>
        <v>0</v>
      </c>
      <c r="Z38" s="50" t="s">
        <v>250</v>
      </c>
      <c r="AA38" s="57" t="s">
        <v>250</v>
      </c>
      <c r="AC38" s="50"/>
      <c r="AD38" s="59" t="s">
        <v>111</v>
      </c>
      <c r="AE38" s="1">
        <v>3</v>
      </c>
      <c r="AF38" s="56">
        <v>45470</v>
      </c>
      <c r="AG38" s="50">
        <v>6</v>
      </c>
      <c r="AH38" s="50">
        <v>4</v>
      </c>
      <c r="AI38" s="50">
        <f t="shared" si="5"/>
        <v>10</v>
      </c>
      <c r="AJ38" s="50" t="s">
        <v>252</v>
      </c>
      <c r="AK38" s="57" t="s">
        <v>250</v>
      </c>
      <c r="AM38" s="50"/>
      <c r="AN38" s="59" t="s">
        <v>111</v>
      </c>
      <c r="AO38" s="1">
        <v>4</v>
      </c>
      <c r="AP38" s="56">
        <v>45477</v>
      </c>
      <c r="AQ38" s="50">
        <v>0</v>
      </c>
      <c r="AR38" s="50">
        <v>2</v>
      </c>
      <c r="AS38" s="50">
        <f t="shared" si="6"/>
        <v>2</v>
      </c>
      <c r="AT38" s="50" t="s">
        <v>250</v>
      </c>
      <c r="AU38" s="57" t="s">
        <v>250</v>
      </c>
      <c r="AW38" s="50"/>
      <c r="AX38" s="59" t="s">
        <v>111</v>
      </c>
      <c r="AY38" s="1">
        <v>5</v>
      </c>
      <c r="AZ38" s="56">
        <v>45484</v>
      </c>
      <c r="BA38" s="50">
        <v>0</v>
      </c>
      <c r="BB38" s="50">
        <v>0</v>
      </c>
      <c r="BC38" s="50">
        <f t="shared" si="12"/>
        <v>0</v>
      </c>
      <c r="BD38" s="50" t="s">
        <v>250</v>
      </c>
      <c r="BE38" s="57" t="s">
        <v>250</v>
      </c>
      <c r="BG38" s="50"/>
      <c r="BH38" s="59" t="s">
        <v>111</v>
      </c>
      <c r="BI38" s="1">
        <v>6</v>
      </c>
      <c r="BJ38" s="56">
        <v>45491</v>
      </c>
      <c r="BK38" s="50">
        <v>1</v>
      </c>
      <c r="BL38" s="50">
        <v>4</v>
      </c>
      <c r="BM38" s="50">
        <f t="shared" si="13"/>
        <v>5</v>
      </c>
      <c r="BN38" s="50" t="s">
        <v>252</v>
      </c>
      <c r="BO38" s="57" t="s">
        <v>252</v>
      </c>
      <c r="BQ38" s="50"/>
      <c r="BR38" s="59" t="s">
        <v>111</v>
      </c>
      <c r="BS38" s="1">
        <v>7</v>
      </c>
      <c r="BT38" s="56">
        <v>45498</v>
      </c>
      <c r="BU38" s="50">
        <v>6</v>
      </c>
      <c r="BV38" s="50">
        <v>3</v>
      </c>
      <c r="BW38" s="50">
        <f t="shared" si="7"/>
        <v>9</v>
      </c>
      <c r="BX38" s="50" t="s">
        <v>252</v>
      </c>
      <c r="BY38" s="50" t="s">
        <v>252</v>
      </c>
      <c r="CC38" s="77" t="s">
        <v>111</v>
      </c>
      <c r="CD38" s="78">
        <f t="shared" si="34"/>
        <v>26</v>
      </c>
      <c r="CF38" s="103" t="s">
        <v>309</v>
      </c>
      <c r="CG38" s="111"/>
      <c r="CI38" s="105" t="s">
        <v>282</v>
      </c>
      <c r="CJ38" s="76"/>
    </row>
    <row r="39" spans="1:88" ht="14.4" x14ac:dyDescent="0.3">
      <c r="A39" s="50" t="s">
        <v>113</v>
      </c>
      <c r="B39" s="50" t="s">
        <v>81</v>
      </c>
      <c r="C39" s="68">
        <v>32.473959999999998</v>
      </c>
      <c r="D39" s="68">
        <v>-83.507760000000005</v>
      </c>
      <c r="E39" s="70">
        <v>45429</v>
      </c>
      <c r="F39" s="70">
        <v>45449</v>
      </c>
      <c r="G39" s="67">
        <v>45498</v>
      </c>
      <c r="H39" s="1" t="s">
        <v>25</v>
      </c>
      <c r="I39" s="1" t="s">
        <v>26</v>
      </c>
      <c r="J39" s="59" t="s">
        <v>113</v>
      </c>
      <c r="K39" s="6">
        <v>1</v>
      </c>
      <c r="L39" s="56">
        <v>45456</v>
      </c>
      <c r="M39" s="50">
        <v>0</v>
      </c>
      <c r="N39" s="50">
        <v>12</v>
      </c>
      <c r="O39" s="50">
        <f t="shared" si="3"/>
        <v>12</v>
      </c>
      <c r="P39" s="50" t="s">
        <v>252</v>
      </c>
      <c r="Q39" s="57" t="s">
        <v>250</v>
      </c>
      <c r="T39" s="59" t="s">
        <v>113</v>
      </c>
      <c r="U39" s="6">
        <v>2</v>
      </c>
      <c r="V39" s="56">
        <v>45463</v>
      </c>
      <c r="W39" s="50">
        <v>0</v>
      </c>
      <c r="X39" s="50">
        <v>1</v>
      </c>
      <c r="Y39" s="50">
        <f t="shared" si="4"/>
        <v>1</v>
      </c>
      <c r="Z39" s="50" t="s">
        <v>250</v>
      </c>
      <c r="AA39" s="57" t="s">
        <v>250</v>
      </c>
      <c r="AC39" s="50"/>
      <c r="AD39" s="59" t="s">
        <v>113</v>
      </c>
      <c r="AE39" s="1">
        <v>3</v>
      </c>
      <c r="AF39" s="56">
        <v>45470</v>
      </c>
      <c r="AG39" s="50">
        <v>12</v>
      </c>
      <c r="AH39" s="50">
        <v>14</v>
      </c>
      <c r="AI39" s="50">
        <f t="shared" si="5"/>
        <v>26</v>
      </c>
      <c r="AJ39" s="50" t="s">
        <v>252</v>
      </c>
      <c r="AK39" s="57" t="s">
        <v>250</v>
      </c>
      <c r="AM39" s="50"/>
      <c r="AN39" s="59" t="s">
        <v>113</v>
      </c>
      <c r="AO39" s="1">
        <v>4</v>
      </c>
      <c r="AP39" s="56">
        <v>45477</v>
      </c>
      <c r="AQ39" s="50">
        <v>2</v>
      </c>
      <c r="AR39" s="50">
        <v>1</v>
      </c>
      <c r="AS39" s="50">
        <f t="shared" si="6"/>
        <v>3</v>
      </c>
      <c r="AT39" s="50" t="s">
        <v>261</v>
      </c>
      <c r="AU39" s="57" t="s">
        <v>250</v>
      </c>
      <c r="AW39" s="50"/>
      <c r="AX39" s="59" t="s">
        <v>113</v>
      </c>
      <c r="AY39" s="1">
        <v>5</v>
      </c>
      <c r="AZ39" s="56">
        <v>45484</v>
      </c>
      <c r="BA39" s="50">
        <v>3</v>
      </c>
      <c r="BB39" s="50">
        <v>0</v>
      </c>
      <c r="BC39" s="50">
        <f t="shared" si="12"/>
        <v>3</v>
      </c>
      <c r="BD39" s="50" t="s">
        <v>252</v>
      </c>
      <c r="BE39" s="57" t="s">
        <v>252</v>
      </c>
      <c r="BG39" s="50"/>
      <c r="BH39" s="59" t="s">
        <v>113</v>
      </c>
      <c r="BI39" s="1">
        <v>6</v>
      </c>
      <c r="BJ39" s="56">
        <v>45491</v>
      </c>
      <c r="BK39" s="50">
        <v>7</v>
      </c>
      <c r="BL39" s="50">
        <v>1</v>
      </c>
      <c r="BM39" s="50">
        <f t="shared" si="13"/>
        <v>8</v>
      </c>
      <c r="BN39" s="50" t="s">
        <v>252</v>
      </c>
      <c r="BO39" s="57" t="s">
        <v>252</v>
      </c>
      <c r="BQ39" s="50"/>
      <c r="BR39" s="59" t="s">
        <v>113</v>
      </c>
      <c r="BS39" s="1">
        <v>7</v>
      </c>
      <c r="BT39" s="56">
        <v>45498</v>
      </c>
      <c r="BU39" s="50">
        <v>0</v>
      </c>
      <c r="BV39" s="50">
        <v>2</v>
      </c>
      <c r="BW39" s="50">
        <f t="shared" si="7"/>
        <v>2</v>
      </c>
      <c r="BX39" s="50" t="s">
        <v>252</v>
      </c>
      <c r="BY39" s="50" t="s">
        <v>250</v>
      </c>
      <c r="CC39" s="77" t="s">
        <v>113</v>
      </c>
      <c r="CD39" s="78">
        <f t="shared" si="34"/>
        <v>55</v>
      </c>
      <c r="CI39" s="105" t="s">
        <v>283</v>
      </c>
      <c r="CJ39" s="76"/>
    </row>
    <row r="40" spans="1:88" ht="14.4" x14ac:dyDescent="0.3">
      <c r="A40" s="50" t="s">
        <v>114</v>
      </c>
      <c r="B40" s="50" t="s">
        <v>81</v>
      </c>
      <c r="C40" s="68">
        <v>32.478870000000001</v>
      </c>
      <c r="D40" s="68">
        <v>-83.573430000000002</v>
      </c>
      <c r="E40" s="70">
        <v>45425</v>
      </c>
      <c r="F40" s="70">
        <v>45449</v>
      </c>
      <c r="G40" s="67">
        <v>45501</v>
      </c>
      <c r="H40" s="1" t="s">
        <v>25</v>
      </c>
      <c r="I40" s="1" t="s">
        <v>26</v>
      </c>
      <c r="J40" s="59" t="s">
        <v>114</v>
      </c>
      <c r="K40" s="6">
        <v>1</v>
      </c>
      <c r="L40" s="56">
        <v>45456</v>
      </c>
      <c r="M40" s="50">
        <v>1</v>
      </c>
      <c r="N40" s="50">
        <v>0</v>
      </c>
      <c r="O40" s="50">
        <f t="shared" si="3"/>
        <v>1</v>
      </c>
      <c r="P40" s="50" t="s">
        <v>250</v>
      </c>
      <c r="Q40" s="57" t="s">
        <v>250</v>
      </c>
      <c r="R40" s="57" t="s">
        <v>272</v>
      </c>
      <c r="T40" s="59" t="s">
        <v>114</v>
      </c>
      <c r="U40" s="6">
        <v>2</v>
      </c>
      <c r="V40" s="56">
        <v>45463</v>
      </c>
      <c r="W40" s="50">
        <v>0</v>
      </c>
      <c r="X40" s="50">
        <v>0</v>
      </c>
      <c r="Y40" s="50">
        <f>SUM(W40+X40)</f>
        <v>0</v>
      </c>
      <c r="Z40" s="50" t="s">
        <v>250</v>
      </c>
      <c r="AA40" s="57" t="s">
        <v>250</v>
      </c>
      <c r="AC40" s="50"/>
      <c r="AD40" s="59" t="s">
        <v>114</v>
      </c>
      <c r="AE40" s="1">
        <v>3</v>
      </c>
      <c r="AF40" s="56">
        <v>45470</v>
      </c>
      <c r="AG40" s="50">
        <v>0</v>
      </c>
      <c r="AH40" s="50">
        <v>0</v>
      </c>
      <c r="AI40" s="50">
        <f t="shared" si="5"/>
        <v>0</v>
      </c>
      <c r="AJ40" s="50" t="s">
        <v>250</v>
      </c>
      <c r="AK40" s="57" t="s">
        <v>250</v>
      </c>
      <c r="AM40" s="50"/>
      <c r="AN40" s="59" t="s">
        <v>114</v>
      </c>
      <c r="AO40" s="1">
        <v>4</v>
      </c>
      <c r="AP40" s="56">
        <v>45477</v>
      </c>
      <c r="AQ40" s="50">
        <v>2</v>
      </c>
      <c r="AR40" s="50">
        <v>2</v>
      </c>
      <c r="AS40" s="50">
        <f t="shared" si="6"/>
        <v>4</v>
      </c>
      <c r="AT40" s="50" t="s">
        <v>252</v>
      </c>
      <c r="AU40" s="57" t="s">
        <v>252</v>
      </c>
      <c r="AW40" s="50"/>
      <c r="AX40" s="59" t="s">
        <v>114</v>
      </c>
      <c r="AY40" s="1">
        <v>5</v>
      </c>
      <c r="AZ40" s="56">
        <v>45484</v>
      </c>
      <c r="BA40" s="50">
        <v>0</v>
      </c>
      <c r="BB40" s="50">
        <v>0</v>
      </c>
      <c r="BC40" s="50">
        <f t="shared" si="12"/>
        <v>0</v>
      </c>
      <c r="BD40" s="50" t="s">
        <v>250</v>
      </c>
      <c r="BE40" s="57" t="s">
        <v>250</v>
      </c>
      <c r="BG40" s="50"/>
      <c r="BH40" s="59" t="s">
        <v>114</v>
      </c>
      <c r="BI40" s="1">
        <v>6</v>
      </c>
      <c r="BJ40" s="56">
        <v>45491</v>
      </c>
      <c r="BK40" s="50">
        <v>0</v>
      </c>
      <c r="BL40" s="50">
        <v>0</v>
      </c>
      <c r="BM40" s="50">
        <f t="shared" si="13"/>
        <v>0</v>
      </c>
      <c r="BN40" s="50" t="s">
        <v>250</v>
      </c>
      <c r="BO40" s="57" t="s">
        <v>250</v>
      </c>
      <c r="BQ40" s="50"/>
      <c r="BR40" s="59" t="s">
        <v>114</v>
      </c>
      <c r="BS40" s="1">
        <v>7</v>
      </c>
      <c r="BT40" s="56">
        <v>45498</v>
      </c>
      <c r="BU40" s="50">
        <v>1</v>
      </c>
      <c r="BV40" s="50">
        <v>4</v>
      </c>
      <c r="BW40" s="50">
        <f t="shared" si="7"/>
        <v>5</v>
      </c>
      <c r="BX40" s="50" t="s">
        <v>252</v>
      </c>
      <c r="BY40" s="50" t="s">
        <v>252</v>
      </c>
      <c r="CC40" s="77" t="s">
        <v>114</v>
      </c>
      <c r="CD40" s="78">
        <f t="shared" si="34"/>
        <v>10</v>
      </c>
      <c r="CI40" s="105" t="s">
        <v>284</v>
      </c>
      <c r="CJ40" s="76"/>
    </row>
    <row r="41" spans="1:88" ht="14.4" x14ac:dyDescent="0.3">
      <c r="A41" s="50" t="s">
        <v>115</v>
      </c>
      <c r="B41" s="50" t="s">
        <v>81</v>
      </c>
      <c r="C41" s="68">
        <v>32.475000000000001</v>
      </c>
      <c r="D41" s="68">
        <v>-83.523349999999994</v>
      </c>
      <c r="E41" s="70">
        <v>45429</v>
      </c>
      <c r="F41" s="70">
        <v>45449</v>
      </c>
      <c r="G41" s="67">
        <v>45498</v>
      </c>
      <c r="H41" s="1" t="s">
        <v>25</v>
      </c>
      <c r="I41" s="1" t="s">
        <v>26</v>
      </c>
      <c r="J41" s="59" t="s">
        <v>115</v>
      </c>
      <c r="K41" s="6">
        <v>1</v>
      </c>
      <c r="L41" s="56">
        <v>45456</v>
      </c>
      <c r="M41" s="50">
        <v>0</v>
      </c>
      <c r="N41" s="50">
        <v>0</v>
      </c>
      <c r="O41" s="50">
        <f t="shared" si="3"/>
        <v>0</v>
      </c>
      <c r="P41" s="50" t="s">
        <v>250</v>
      </c>
      <c r="Q41" s="57" t="s">
        <v>250</v>
      </c>
      <c r="T41" s="59" t="s">
        <v>115</v>
      </c>
      <c r="U41" s="6">
        <v>2</v>
      </c>
      <c r="V41" s="56">
        <v>45463</v>
      </c>
      <c r="W41" s="50">
        <v>0</v>
      </c>
      <c r="X41" s="50">
        <v>1</v>
      </c>
      <c r="Y41" s="50">
        <f>SUM(W41+X41)</f>
        <v>1</v>
      </c>
      <c r="Z41" s="50" t="s">
        <v>252</v>
      </c>
      <c r="AA41" s="57" t="s">
        <v>250</v>
      </c>
      <c r="AC41" s="50"/>
      <c r="AD41" s="59" t="s">
        <v>115</v>
      </c>
      <c r="AE41" s="1">
        <v>3</v>
      </c>
      <c r="AF41" s="56">
        <v>45470</v>
      </c>
      <c r="AG41" s="50">
        <v>0</v>
      </c>
      <c r="AH41" s="50">
        <v>0</v>
      </c>
      <c r="AI41" s="50">
        <f t="shared" ref="AI41:AI42" si="35">SUM(AG41+AH41)</f>
        <v>0</v>
      </c>
      <c r="AJ41" s="50" t="s">
        <v>250</v>
      </c>
      <c r="AK41" s="57" t="s">
        <v>250</v>
      </c>
      <c r="AM41" s="50"/>
      <c r="AN41" s="59" t="s">
        <v>115</v>
      </c>
      <c r="AO41" s="1">
        <v>4</v>
      </c>
      <c r="AP41" s="56">
        <v>45477</v>
      </c>
      <c r="AQ41" s="50">
        <v>0</v>
      </c>
      <c r="AR41" s="50">
        <v>1</v>
      </c>
      <c r="AS41" s="50">
        <f t="shared" si="6"/>
        <v>1</v>
      </c>
      <c r="AT41" s="50" t="s">
        <v>261</v>
      </c>
      <c r="AU41" s="57" t="s">
        <v>250</v>
      </c>
      <c r="AW41" s="50"/>
      <c r="AX41" s="59" t="s">
        <v>115</v>
      </c>
      <c r="AY41" s="1">
        <v>5</v>
      </c>
      <c r="AZ41" s="56">
        <v>45484</v>
      </c>
      <c r="BA41" s="50">
        <v>0</v>
      </c>
      <c r="BB41" s="50">
        <v>0</v>
      </c>
      <c r="BC41" s="50">
        <f t="shared" ref="BC41:BC43" si="36">SUM(BA41+BB41)</f>
        <v>0</v>
      </c>
      <c r="BD41" s="50" t="s">
        <v>250</v>
      </c>
      <c r="BE41" s="57" t="s">
        <v>250</v>
      </c>
      <c r="BG41" s="50"/>
      <c r="BH41" s="59" t="s">
        <v>115</v>
      </c>
      <c r="BI41" s="1">
        <v>6</v>
      </c>
      <c r="BJ41" s="56">
        <v>45491</v>
      </c>
      <c r="BK41" s="50">
        <v>3</v>
      </c>
      <c r="BL41" s="50">
        <v>4</v>
      </c>
      <c r="BM41" s="50">
        <f t="shared" si="13"/>
        <v>7</v>
      </c>
      <c r="BN41" s="50" t="s">
        <v>252</v>
      </c>
      <c r="BO41" s="57" t="s">
        <v>250</v>
      </c>
      <c r="BQ41" s="50"/>
      <c r="BR41" s="59" t="s">
        <v>115</v>
      </c>
      <c r="BS41" s="1">
        <v>7</v>
      </c>
      <c r="BT41" s="56">
        <v>45498</v>
      </c>
      <c r="BU41" s="50">
        <v>0</v>
      </c>
      <c r="BV41" s="50">
        <v>0</v>
      </c>
      <c r="BW41" s="50">
        <f t="shared" si="7"/>
        <v>0</v>
      </c>
      <c r="BX41" s="50" t="s">
        <v>250</v>
      </c>
      <c r="BY41" s="50" t="s">
        <v>250</v>
      </c>
      <c r="CC41" s="77" t="s">
        <v>115</v>
      </c>
      <c r="CD41" s="78">
        <f t="shared" si="34"/>
        <v>9</v>
      </c>
      <c r="CI41" s="105" t="s">
        <v>285</v>
      </c>
      <c r="CJ41" s="76"/>
    </row>
    <row r="42" spans="1:88" ht="14.4" x14ac:dyDescent="0.3">
      <c r="A42" s="50" t="s">
        <v>116</v>
      </c>
      <c r="B42" s="50" t="s">
        <v>81</v>
      </c>
      <c r="C42" s="68">
        <v>32.48639</v>
      </c>
      <c r="D42" s="68">
        <v>-83.574150000000003</v>
      </c>
      <c r="E42" s="70">
        <v>45425</v>
      </c>
      <c r="F42" s="70">
        <v>45449</v>
      </c>
      <c r="G42" s="67">
        <v>45501</v>
      </c>
      <c r="H42" s="1" t="s">
        <v>25</v>
      </c>
      <c r="I42" s="1" t="s">
        <v>26</v>
      </c>
      <c r="J42" s="59" t="s">
        <v>116</v>
      </c>
      <c r="K42" s="6">
        <v>1</v>
      </c>
      <c r="L42" s="56">
        <v>45456</v>
      </c>
      <c r="M42" s="50">
        <v>4</v>
      </c>
      <c r="N42" s="50">
        <v>3</v>
      </c>
      <c r="O42" s="50">
        <f t="shared" si="3"/>
        <v>7</v>
      </c>
      <c r="P42" s="50" t="s">
        <v>252</v>
      </c>
      <c r="Q42" s="57" t="s">
        <v>250</v>
      </c>
      <c r="T42" s="59" t="s">
        <v>116</v>
      </c>
      <c r="U42" s="6">
        <v>2</v>
      </c>
      <c r="V42" s="56">
        <v>45463</v>
      </c>
      <c r="W42" s="50">
        <v>0</v>
      </c>
      <c r="X42" s="50">
        <v>0</v>
      </c>
      <c r="Y42" s="50">
        <f>SUM(W42+X42)</f>
        <v>0</v>
      </c>
      <c r="Z42" s="50" t="s">
        <v>250</v>
      </c>
      <c r="AA42" s="57" t="s">
        <v>250</v>
      </c>
      <c r="AC42" s="50"/>
      <c r="AD42" s="59" t="s">
        <v>116</v>
      </c>
      <c r="AE42" s="1">
        <v>3</v>
      </c>
      <c r="AF42" s="56">
        <v>45470</v>
      </c>
      <c r="AG42" s="50">
        <v>0</v>
      </c>
      <c r="AH42" s="50">
        <v>0</v>
      </c>
      <c r="AI42" s="50">
        <f t="shared" si="35"/>
        <v>0</v>
      </c>
      <c r="AJ42" s="50" t="s">
        <v>250</v>
      </c>
      <c r="AK42" s="57" t="s">
        <v>250</v>
      </c>
      <c r="AM42" s="50"/>
      <c r="AN42" s="59" t="s">
        <v>116</v>
      </c>
      <c r="AO42" s="1">
        <v>4</v>
      </c>
      <c r="AP42" s="56">
        <v>45477</v>
      </c>
      <c r="AQ42" s="50">
        <v>11</v>
      </c>
      <c r="AR42" s="50">
        <v>11</v>
      </c>
      <c r="AS42" s="50">
        <f t="shared" si="6"/>
        <v>22</v>
      </c>
      <c r="AT42" s="50" t="s">
        <v>252</v>
      </c>
      <c r="AU42" s="57" t="s">
        <v>250</v>
      </c>
      <c r="AW42" s="50"/>
      <c r="AX42" s="59" t="s">
        <v>116</v>
      </c>
      <c r="AY42" s="1">
        <v>5</v>
      </c>
      <c r="AZ42" s="56">
        <v>45484</v>
      </c>
      <c r="BA42" s="50">
        <v>0</v>
      </c>
      <c r="BB42" s="50">
        <v>0</v>
      </c>
      <c r="BC42" s="50">
        <f t="shared" si="36"/>
        <v>0</v>
      </c>
      <c r="BD42" s="50" t="s">
        <v>250</v>
      </c>
      <c r="BE42" s="57" t="s">
        <v>250</v>
      </c>
      <c r="BG42" s="50"/>
      <c r="BH42" s="59" t="s">
        <v>116</v>
      </c>
      <c r="BI42" s="1">
        <v>6</v>
      </c>
      <c r="BJ42" s="56">
        <v>45491</v>
      </c>
      <c r="BK42" s="50">
        <v>2</v>
      </c>
      <c r="BL42" s="50">
        <v>2</v>
      </c>
      <c r="BM42" s="50">
        <f t="shared" si="13"/>
        <v>4</v>
      </c>
      <c r="BN42" s="50" t="s">
        <v>252</v>
      </c>
      <c r="BO42" s="57" t="s">
        <v>250</v>
      </c>
      <c r="BQ42" s="50"/>
      <c r="BR42" s="59" t="s">
        <v>116</v>
      </c>
      <c r="BS42" s="1">
        <v>7</v>
      </c>
      <c r="BT42" s="56">
        <v>45498</v>
      </c>
      <c r="BU42" s="50">
        <v>0</v>
      </c>
      <c r="BV42" s="50">
        <v>0</v>
      </c>
      <c r="BW42" s="50">
        <f t="shared" ref="BW42:BW43" si="37">SUM(BU42+BV42)</f>
        <v>0</v>
      </c>
      <c r="BX42" s="50" t="s">
        <v>250</v>
      </c>
      <c r="BY42" s="50" t="s">
        <v>250</v>
      </c>
      <c r="CC42" s="77" t="s">
        <v>116</v>
      </c>
      <c r="CD42" s="78">
        <f t="shared" si="34"/>
        <v>33</v>
      </c>
      <c r="CI42" s="105" t="s">
        <v>286</v>
      </c>
      <c r="CJ42" s="76"/>
    </row>
    <row r="43" spans="1:88" thickBot="1" x14ac:dyDescent="0.35">
      <c r="A43" s="50" t="s">
        <v>117</v>
      </c>
      <c r="B43" s="50" t="s">
        <v>81</v>
      </c>
      <c r="C43" s="68">
        <v>32.487119999999997</v>
      </c>
      <c r="D43" s="68">
        <v>-83.559119999999993</v>
      </c>
      <c r="E43" s="70">
        <v>45425</v>
      </c>
      <c r="F43" s="70">
        <v>45449</v>
      </c>
      <c r="G43" s="67">
        <v>45498</v>
      </c>
      <c r="H43" s="1" t="s">
        <v>25</v>
      </c>
      <c r="I43" s="1" t="s">
        <v>26</v>
      </c>
      <c r="J43" s="59" t="s">
        <v>117</v>
      </c>
      <c r="K43" s="6">
        <v>1</v>
      </c>
      <c r="L43" s="56">
        <v>45456</v>
      </c>
      <c r="M43" s="50">
        <v>0</v>
      </c>
      <c r="N43" s="50">
        <v>0</v>
      </c>
      <c r="O43" s="50">
        <f t="shared" si="3"/>
        <v>0</v>
      </c>
      <c r="P43" s="50" t="s">
        <v>250</v>
      </c>
      <c r="Q43" s="57" t="s">
        <v>250</v>
      </c>
      <c r="T43" s="59" t="s">
        <v>117</v>
      </c>
      <c r="U43" s="6">
        <v>2</v>
      </c>
      <c r="V43" s="56">
        <v>45463</v>
      </c>
      <c r="W43" s="50">
        <v>0</v>
      </c>
      <c r="X43" s="50">
        <v>7</v>
      </c>
      <c r="Y43" s="50">
        <f t="shared" si="4"/>
        <v>7</v>
      </c>
      <c r="Z43" s="50" t="s">
        <v>252</v>
      </c>
      <c r="AA43" s="57" t="s">
        <v>252</v>
      </c>
      <c r="AC43" s="50"/>
      <c r="AD43" s="59" t="s">
        <v>117</v>
      </c>
      <c r="AE43" s="1">
        <v>3</v>
      </c>
      <c r="AF43" s="56">
        <v>45470</v>
      </c>
      <c r="AG43" s="50">
        <v>10</v>
      </c>
      <c r="AH43" s="50">
        <v>3</v>
      </c>
      <c r="AI43" s="50">
        <f t="shared" si="5"/>
        <v>13</v>
      </c>
      <c r="AJ43" s="50" t="s">
        <v>252</v>
      </c>
      <c r="AK43" s="57" t="s">
        <v>252</v>
      </c>
      <c r="AM43" s="50"/>
      <c r="AN43" s="59" t="s">
        <v>117</v>
      </c>
      <c r="AO43" s="1">
        <v>4</v>
      </c>
      <c r="AP43" s="56">
        <v>45477</v>
      </c>
      <c r="AQ43" s="50">
        <v>7</v>
      </c>
      <c r="AR43" s="50">
        <v>7</v>
      </c>
      <c r="AS43" s="50">
        <f t="shared" si="6"/>
        <v>14</v>
      </c>
      <c r="AT43" s="50" t="s">
        <v>252</v>
      </c>
      <c r="AU43" s="57" t="s">
        <v>250</v>
      </c>
      <c r="AW43" s="50"/>
      <c r="AX43" s="59" t="s">
        <v>117</v>
      </c>
      <c r="AY43" s="1">
        <v>5</v>
      </c>
      <c r="AZ43" s="56">
        <v>45484</v>
      </c>
      <c r="BA43" s="50">
        <v>1</v>
      </c>
      <c r="BB43" s="50">
        <v>3</v>
      </c>
      <c r="BC43" s="50">
        <f t="shared" si="36"/>
        <v>4</v>
      </c>
      <c r="BD43" s="50" t="s">
        <v>252</v>
      </c>
      <c r="BE43" s="57" t="s">
        <v>250</v>
      </c>
      <c r="BG43" s="50"/>
      <c r="BH43" s="59" t="s">
        <v>117</v>
      </c>
      <c r="BI43" s="1">
        <v>6</v>
      </c>
      <c r="BJ43" s="56">
        <v>45491</v>
      </c>
      <c r="BK43" s="50">
        <v>9</v>
      </c>
      <c r="BL43" s="50">
        <v>7</v>
      </c>
      <c r="BM43" s="50">
        <f t="shared" si="13"/>
        <v>16</v>
      </c>
      <c r="BN43" s="50" t="s">
        <v>252</v>
      </c>
      <c r="BO43" s="57" t="s">
        <v>252</v>
      </c>
      <c r="BQ43" s="50"/>
      <c r="BR43" s="59" t="s">
        <v>117</v>
      </c>
      <c r="BS43" s="1">
        <v>7</v>
      </c>
      <c r="BT43" s="56">
        <v>45498</v>
      </c>
      <c r="BU43" s="50">
        <v>3</v>
      </c>
      <c r="BV43" s="50">
        <v>8</v>
      </c>
      <c r="BW43" s="50">
        <f t="shared" si="37"/>
        <v>11</v>
      </c>
      <c r="BX43" s="50" t="s">
        <v>250</v>
      </c>
      <c r="BY43" s="50" t="s">
        <v>250</v>
      </c>
      <c r="CC43" s="77" t="s">
        <v>117</v>
      </c>
      <c r="CD43" s="78">
        <f t="shared" si="34"/>
        <v>65</v>
      </c>
      <c r="CI43" s="106" t="s">
        <v>287</v>
      </c>
      <c r="CJ43" s="80"/>
    </row>
    <row r="44" spans="1:88" ht="14.4" x14ac:dyDescent="0.3">
      <c r="A44" s="50" t="s">
        <v>118</v>
      </c>
      <c r="B44" s="50" t="s">
        <v>81</v>
      </c>
      <c r="C44" s="68">
        <v>32.487990000000003</v>
      </c>
      <c r="D44" s="68">
        <v>-83.541049999999998</v>
      </c>
      <c r="E44" s="70">
        <v>45428</v>
      </c>
      <c r="F44" s="70">
        <v>45449</v>
      </c>
      <c r="G44" s="67">
        <v>45498</v>
      </c>
      <c r="H44" s="1" t="s">
        <v>25</v>
      </c>
      <c r="I44" s="1" t="s">
        <v>26</v>
      </c>
      <c r="J44" s="59" t="s">
        <v>118</v>
      </c>
      <c r="K44" s="6">
        <v>1</v>
      </c>
      <c r="L44" s="56">
        <v>45456</v>
      </c>
      <c r="M44" s="50">
        <v>6</v>
      </c>
      <c r="N44" s="50">
        <v>0</v>
      </c>
      <c r="O44" s="50">
        <f t="shared" si="3"/>
        <v>6</v>
      </c>
      <c r="P44" s="50" t="s">
        <v>252</v>
      </c>
      <c r="Q44" s="57" t="s">
        <v>250</v>
      </c>
      <c r="T44" s="59" t="s">
        <v>118</v>
      </c>
      <c r="U44" s="6">
        <v>2</v>
      </c>
      <c r="V44" s="56">
        <v>45463</v>
      </c>
      <c r="W44" s="50">
        <v>0</v>
      </c>
      <c r="X44" s="50">
        <v>0</v>
      </c>
      <c r="Y44" s="50">
        <f t="shared" si="4"/>
        <v>0</v>
      </c>
      <c r="Z44" s="50" t="s">
        <v>250</v>
      </c>
      <c r="AA44" s="57" t="s">
        <v>250</v>
      </c>
      <c r="AC44" s="50"/>
      <c r="AD44" s="59" t="s">
        <v>118</v>
      </c>
      <c r="AE44" s="1">
        <v>3</v>
      </c>
      <c r="AF44" s="56">
        <v>45470</v>
      </c>
      <c r="AG44" s="50">
        <v>0</v>
      </c>
      <c r="AH44" s="50">
        <v>0</v>
      </c>
      <c r="AI44" s="50">
        <f t="shared" si="5"/>
        <v>0</v>
      </c>
      <c r="AJ44" s="50" t="s">
        <v>250</v>
      </c>
      <c r="AK44" s="57" t="s">
        <v>250</v>
      </c>
      <c r="AM44" s="50"/>
      <c r="AN44" s="59" t="s">
        <v>118</v>
      </c>
      <c r="AO44" s="1">
        <v>4</v>
      </c>
      <c r="AP44" s="56">
        <v>45477</v>
      </c>
      <c r="AQ44" s="50">
        <v>0</v>
      </c>
      <c r="AR44" s="50">
        <v>0</v>
      </c>
      <c r="AS44" s="50">
        <f t="shared" si="6"/>
        <v>0</v>
      </c>
      <c r="AT44" s="50" t="s">
        <v>250</v>
      </c>
      <c r="AU44" s="57" t="s">
        <v>250</v>
      </c>
      <c r="AW44" s="50"/>
      <c r="AX44" s="59" t="s">
        <v>118</v>
      </c>
      <c r="AY44" s="1">
        <v>5</v>
      </c>
      <c r="AZ44" s="56">
        <v>45484</v>
      </c>
      <c r="BA44" s="50">
        <v>7</v>
      </c>
      <c r="BB44" s="50">
        <v>1</v>
      </c>
      <c r="BC44" s="50">
        <f t="shared" si="12"/>
        <v>8</v>
      </c>
      <c r="BD44" s="50" t="s">
        <v>252</v>
      </c>
      <c r="BE44" s="57" t="s">
        <v>250</v>
      </c>
      <c r="BG44" s="50"/>
      <c r="BH44" s="59" t="s">
        <v>118</v>
      </c>
      <c r="BI44" s="1">
        <v>6</v>
      </c>
      <c r="BJ44" s="56">
        <v>45491</v>
      </c>
      <c r="BK44" s="50">
        <v>19</v>
      </c>
      <c r="BL44" s="50">
        <v>4</v>
      </c>
      <c r="BM44" s="50">
        <f t="shared" si="13"/>
        <v>23</v>
      </c>
      <c r="BN44" s="50" t="s">
        <v>252</v>
      </c>
      <c r="BO44" s="57" t="s">
        <v>252</v>
      </c>
      <c r="BQ44" s="50"/>
      <c r="BR44" s="59" t="s">
        <v>118</v>
      </c>
      <c r="BS44" s="1">
        <v>7</v>
      </c>
      <c r="BT44" s="56">
        <v>45498</v>
      </c>
      <c r="BU44" s="50">
        <v>8</v>
      </c>
      <c r="BV44" s="50">
        <v>2</v>
      </c>
      <c r="BW44" s="50">
        <f t="shared" si="7"/>
        <v>10</v>
      </c>
      <c r="BX44" s="50" t="s">
        <v>252</v>
      </c>
      <c r="BY44" s="50" t="s">
        <v>252</v>
      </c>
      <c r="CC44" s="77" t="s">
        <v>118</v>
      </c>
      <c r="CD44" s="78">
        <f t="shared" si="34"/>
        <v>47</v>
      </c>
    </row>
    <row r="45" spans="1:88" ht="14.4" x14ac:dyDescent="0.3">
      <c r="A45" s="50" t="s">
        <v>119</v>
      </c>
      <c r="B45" s="50" t="s">
        <v>81</v>
      </c>
      <c r="C45" s="68">
        <v>32.48715</v>
      </c>
      <c r="D45" s="68">
        <v>-83.510580000000004</v>
      </c>
      <c r="E45" s="70">
        <v>45428</v>
      </c>
      <c r="F45" s="70">
        <v>45449</v>
      </c>
      <c r="G45" s="67">
        <v>45498</v>
      </c>
      <c r="H45" s="1" t="s">
        <v>25</v>
      </c>
      <c r="I45" s="1" t="s">
        <v>26</v>
      </c>
      <c r="J45" s="59" t="s">
        <v>119</v>
      </c>
      <c r="K45" s="6">
        <v>1</v>
      </c>
      <c r="L45" s="56">
        <v>45456</v>
      </c>
      <c r="M45" s="50">
        <v>1</v>
      </c>
      <c r="N45" s="50">
        <v>4</v>
      </c>
      <c r="O45" s="50">
        <f t="shared" si="3"/>
        <v>5</v>
      </c>
      <c r="P45" s="50" t="s">
        <v>252</v>
      </c>
      <c r="Q45" s="57" t="s">
        <v>250</v>
      </c>
      <c r="T45" s="59" t="s">
        <v>119</v>
      </c>
      <c r="U45" s="6">
        <v>2</v>
      </c>
      <c r="V45" s="56">
        <v>45463</v>
      </c>
      <c r="W45" s="50">
        <v>0</v>
      </c>
      <c r="X45" s="50">
        <v>5</v>
      </c>
      <c r="Y45" s="50">
        <f t="shared" si="4"/>
        <v>5</v>
      </c>
      <c r="Z45" s="50" t="s">
        <v>252</v>
      </c>
      <c r="AA45" s="57" t="s">
        <v>250</v>
      </c>
      <c r="AC45" s="50"/>
      <c r="AD45" s="59" t="s">
        <v>119</v>
      </c>
      <c r="AE45" s="1">
        <v>3</v>
      </c>
      <c r="AF45" s="56">
        <v>45470</v>
      </c>
      <c r="AG45" s="50">
        <v>0</v>
      </c>
      <c r="AH45" s="50">
        <v>0</v>
      </c>
      <c r="AI45" s="50">
        <f t="shared" si="5"/>
        <v>0</v>
      </c>
      <c r="AJ45" s="50" t="s">
        <v>250</v>
      </c>
      <c r="AK45" s="57" t="s">
        <v>250</v>
      </c>
      <c r="AM45" s="50"/>
      <c r="AN45" s="59" t="s">
        <v>119</v>
      </c>
      <c r="AO45" s="1">
        <v>4</v>
      </c>
      <c r="AP45" s="56">
        <v>45477</v>
      </c>
      <c r="AQ45" s="50">
        <v>0</v>
      </c>
      <c r="AR45" s="50">
        <v>0</v>
      </c>
      <c r="AS45" s="50">
        <f t="shared" ref="AS45" si="38">SUM(AQ45+AR45)</f>
        <v>0</v>
      </c>
      <c r="AT45" s="50" t="s">
        <v>250</v>
      </c>
      <c r="AU45" s="57" t="s">
        <v>250</v>
      </c>
      <c r="AW45" s="50"/>
      <c r="AX45" s="59" t="s">
        <v>119</v>
      </c>
      <c r="AY45" s="1">
        <v>5</v>
      </c>
      <c r="AZ45" s="56">
        <v>45484</v>
      </c>
      <c r="BA45" s="50">
        <v>0</v>
      </c>
      <c r="BB45" s="50">
        <v>0</v>
      </c>
      <c r="BC45" s="50">
        <f t="shared" si="12"/>
        <v>0</v>
      </c>
      <c r="BD45" s="50" t="s">
        <v>250</v>
      </c>
      <c r="BE45" s="57" t="s">
        <v>250</v>
      </c>
      <c r="BG45" s="50"/>
      <c r="BH45" s="59" t="s">
        <v>119</v>
      </c>
      <c r="BI45" s="1">
        <v>6</v>
      </c>
      <c r="BJ45" s="56">
        <v>45491</v>
      </c>
      <c r="BK45" s="50">
        <v>4</v>
      </c>
      <c r="BL45" s="50">
        <v>1</v>
      </c>
      <c r="BM45" s="50">
        <f t="shared" si="13"/>
        <v>5</v>
      </c>
      <c r="BN45" s="50" t="s">
        <v>252</v>
      </c>
      <c r="BO45" s="57" t="s">
        <v>252</v>
      </c>
      <c r="BQ45" s="50"/>
      <c r="BR45" s="59" t="s">
        <v>119</v>
      </c>
      <c r="BS45" s="1">
        <v>7</v>
      </c>
      <c r="BT45" s="56">
        <v>45498</v>
      </c>
      <c r="BU45" s="50">
        <v>5</v>
      </c>
      <c r="BV45" s="50">
        <v>0</v>
      </c>
      <c r="BW45" s="50">
        <f t="shared" si="7"/>
        <v>5</v>
      </c>
      <c r="BX45" s="50" t="s">
        <v>252</v>
      </c>
      <c r="BY45" s="50" t="s">
        <v>252</v>
      </c>
      <c r="CC45" s="77" t="s">
        <v>119</v>
      </c>
      <c r="CD45" s="78">
        <f t="shared" si="34"/>
        <v>20</v>
      </c>
    </row>
    <row r="46" spans="1:88" ht="14.4" x14ac:dyDescent="0.3">
      <c r="A46" s="50" t="s">
        <v>120</v>
      </c>
      <c r="B46" s="50" t="s">
        <v>81</v>
      </c>
      <c r="C46" s="68">
        <v>32.497819999999997</v>
      </c>
      <c r="D46" s="68">
        <v>-83.573670000000007</v>
      </c>
      <c r="E46" s="70">
        <v>45425</v>
      </c>
      <c r="F46" s="70">
        <v>45449</v>
      </c>
      <c r="G46" s="67">
        <v>45498</v>
      </c>
      <c r="H46" s="1" t="s">
        <v>25</v>
      </c>
      <c r="I46" s="1" t="s">
        <v>26</v>
      </c>
      <c r="J46" s="59" t="s">
        <v>120</v>
      </c>
      <c r="K46" s="6">
        <v>1</v>
      </c>
      <c r="L46" s="56">
        <v>45456</v>
      </c>
      <c r="M46" s="50">
        <v>6</v>
      </c>
      <c r="N46" s="50">
        <v>10</v>
      </c>
      <c r="O46" s="50">
        <f t="shared" si="3"/>
        <v>16</v>
      </c>
      <c r="P46" s="50" t="s">
        <v>252</v>
      </c>
      <c r="Q46" s="57" t="s">
        <v>250</v>
      </c>
      <c r="T46" s="59" t="s">
        <v>120</v>
      </c>
      <c r="U46" s="6">
        <v>2</v>
      </c>
      <c r="V46" s="56">
        <v>45463</v>
      </c>
      <c r="W46" s="50">
        <v>8</v>
      </c>
      <c r="X46" s="50">
        <v>0</v>
      </c>
      <c r="Y46" s="50">
        <f t="shared" si="4"/>
        <v>8</v>
      </c>
      <c r="Z46" s="50" t="s">
        <v>252</v>
      </c>
      <c r="AA46" s="57" t="s">
        <v>252</v>
      </c>
      <c r="AC46" s="50"/>
      <c r="AD46" s="59" t="s">
        <v>120</v>
      </c>
      <c r="AE46" s="1">
        <v>3</v>
      </c>
      <c r="AF46" s="56">
        <v>45470</v>
      </c>
      <c r="AG46" s="50">
        <v>8</v>
      </c>
      <c r="AH46" s="50">
        <v>6</v>
      </c>
      <c r="AI46" s="50">
        <f t="shared" si="5"/>
        <v>14</v>
      </c>
      <c r="AJ46" s="50" t="s">
        <v>252</v>
      </c>
      <c r="AK46" s="57" t="s">
        <v>250</v>
      </c>
      <c r="AM46" s="50"/>
      <c r="AN46" s="59" t="s">
        <v>120</v>
      </c>
      <c r="AO46" s="1">
        <v>4</v>
      </c>
      <c r="AP46" s="56">
        <v>45477</v>
      </c>
      <c r="AQ46" s="50">
        <v>8</v>
      </c>
      <c r="AR46" s="50">
        <v>4</v>
      </c>
      <c r="AS46" s="50">
        <f t="shared" si="6"/>
        <v>12</v>
      </c>
      <c r="AT46" s="50" t="s">
        <v>252</v>
      </c>
      <c r="AU46" s="57" t="s">
        <v>250</v>
      </c>
      <c r="AW46" s="50"/>
      <c r="AX46" s="59" t="s">
        <v>120</v>
      </c>
      <c r="AY46" s="1">
        <v>5</v>
      </c>
      <c r="AZ46" s="56">
        <v>45484</v>
      </c>
      <c r="BA46" s="50">
        <v>19</v>
      </c>
      <c r="BB46" s="50">
        <v>15</v>
      </c>
      <c r="BC46" s="50">
        <f t="shared" si="12"/>
        <v>34</v>
      </c>
      <c r="BD46" s="50" t="s">
        <v>252</v>
      </c>
      <c r="BE46" s="57" t="s">
        <v>252</v>
      </c>
      <c r="BG46" s="50"/>
      <c r="BH46" s="59" t="s">
        <v>120</v>
      </c>
      <c r="BI46" s="1">
        <v>6</v>
      </c>
      <c r="BJ46" s="56">
        <v>45491</v>
      </c>
      <c r="BK46" s="50">
        <v>9</v>
      </c>
      <c r="BL46" s="50">
        <v>9</v>
      </c>
      <c r="BM46" s="50">
        <f t="shared" si="13"/>
        <v>18</v>
      </c>
      <c r="BN46" s="50" t="s">
        <v>252</v>
      </c>
      <c r="BO46" s="57" t="s">
        <v>252</v>
      </c>
      <c r="BQ46" s="50"/>
      <c r="BR46" s="59" t="s">
        <v>120</v>
      </c>
      <c r="BS46" s="1">
        <v>7</v>
      </c>
      <c r="BT46" s="56">
        <v>45498</v>
      </c>
      <c r="BU46" s="50">
        <v>4</v>
      </c>
      <c r="BV46" s="50">
        <v>7</v>
      </c>
      <c r="BW46" s="50">
        <f t="shared" si="7"/>
        <v>11</v>
      </c>
      <c r="BX46" s="50" t="s">
        <v>252</v>
      </c>
      <c r="BY46" s="50" t="s">
        <v>252</v>
      </c>
      <c r="CC46" s="77" t="s">
        <v>120</v>
      </c>
      <c r="CD46" s="78">
        <f t="shared" si="34"/>
        <v>113</v>
      </c>
    </row>
    <row r="47" spans="1:88" ht="14.4" x14ac:dyDescent="0.3">
      <c r="A47" s="50" t="s">
        <v>121</v>
      </c>
      <c r="B47" s="50" t="s">
        <v>81</v>
      </c>
      <c r="C47" s="68">
        <v>32.500790000000002</v>
      </c>
      <c r="D47" s="68">
        <v>-83.565439999999995</v>
      </c>
      <c r="E47" s="70">
        <v>45425</v>
      </c>
      <c r="F47" s="70">
        <v>45449</v>
      </c>
      <c r="G47" s="67">
        <v>45498</v>
      </c>
      <c r="H47" s="1" t="s">
        <v>25</v>
      </c>
      <c r="I47" s="1" t="s">
        <v>26</v>
      </c>
      <c r="J47" s="59" t="s">
        <v>121</v>
      </c>
      <c r="K47" s="6">
        <v>1</v>
      </c>
      <c r="L47" s="56">
        <v>45456</v>
      </c>
      <c r="M47" s="50">
        <v>0</v>
      </c>
      <c r="N47" s="50">
        <v>0</v>
      </c>
      <c r="O47" s="50">
        <f t="shared" si="3"/>
        <v>0</v>
      </c>
      <c r="P47" s="50" t="s">
        <v>250</v>
      </c>
      <c r="Q47" s="57" t="s">
        <v>250</v>
      </c>
      <c r="T47" s="59" t="s">
        <v>121</v>
      </c>
      <c r="U47" s="6">
        <v>2</v>
      </c>
      <c r="V47" s="56">
        <v>45463</v>
      </c>
      <c r="W47" s="50">
        <v>0</v>
      </c>
      <c r="X47" s="50">
        <v>0</v>
      </c>
      <c r="Y47" s="50">
        <f t="shared" si="4"/>
        <v>0</v>
      </c>
      <c r="Z47" s="50" t="s">
        <v>250</v>
      </c>
      <c r="AA47" s="57" t="s">
        <v>250</v>
      </c>
      <c r="AC47" s="50"/>
      <c r="AD47" s="59" t="s">
        <v>121</v>
      </c>
      <c r="AE47" s="1">
        <v>3</v>
      </c>
      <c r="AF47" s="56">
        <v>45470</v>
      </c>
      <c r="AG47" s="50">
        <v>0</v>
      </c>
      <c r="AH47" s="50">
        <v>0</v>
      </c>
      <c r="AI47" s="50">
        <f t="shared" ref="AI47" si="39">SUM(AG47+AH47)</f>
        <v>0</v>
      </c>
      <c r="AJ47" s="50" t="s">
        <v>250</v>
      </c>
      <c r="AK47" s="57" t="s">
        <v>250</v>
      </c>
      <c r="AM47" s="50"/>
      <c r="AN47" s="59" t="s">
        <v>121</v>
      </c>
      <c r="AO47" s="1">
        <v>4</v>
      </c>
      <c r="AP47" s="56">
        <v>45477</v>
      </c>
      <c r="AQ47" s="50">
        <v>5</v>
      </c>
      <c r="AR47" s="50">
        <v>6</v>
      </c>
      <c r="AS47" s="50">
        <f t="shared" si="6"/>
        <v>11</v>
      </c>
      <c r="AT47" s="50" t="s">
        <v>252</v>
      </c>
      <c r="AU47" s="57" t="s">
        <v>252</v>
      </c>
      <c r="AW47" s="50"/>
      <c r="AX47" s="59" t="s">
        <v>121</v>
      </c>
      <c r="AY47" s="1">
        <v>5</v>
      </c>
      <c r="AZ47" s="56">
        <v>45484</v>
      </c>
      <c r="BA47" s="50">
        <v>6</v>
      </c>
      <c r="BB47" s="50">
        <v>8</v>
      </c>
      <c r="BC47" s="50">
        <f t="shared" si="12"/>
        <v>14</v>
      </c>
      <c r="BD47" s="50" t="s">
        <v>252</v>
      </c>
      <c r="BE47" s="57" t="s">
        <v>252</v>
      </c>
      <c r="BG47" s="50"/>
      <c r="BH47" s="59" t="s">
        <v>121</v>
      </c>
      <c r="BI47" s="1">
        <v>6</v>
      </c>
      <c r="BJ47" s="56">
        <v>45491</v>
      </c>
      <c r="BK47" s="50">
        <v>0</v>
      </c>
      <c r="BL47" s="50">
        <v>0</v>
      </c>
      <c r="BM47" s="50">
        <f t="shared" si="13"/>
        <v>0</v>
      </c>
      <c r="BN47" s="50" t="s">
        <v>250</v>
      </c>
      <c r="BO47" s="57" t="s">
        <v>250</v>
      </c>
      <c r="BQ47" s="50"/>
      <c r="BR47" s="59" t="s">
        <v>121</v>
      </c>
      <c r="BS47" s="1">
        <v>7</v>
      </c>
      <c r="BT47" s="56">
        <v>45498</v>
      </c>
      <c r="BU47" s="50">
        <v>1</v>
      </c>
      <c r="BV47" s="50">
        <v>3</v>
      </c>
      <c r="BW47" s="50">
        <f t="shared" si="7"/>
        <v>4</v>
      </c>
      <c r="BX47" s="50" t="s">
        <v>252</v>
      </c>
      <c r="BY47" s="50" t="s">
        <v>252</v>
      </c>
      <c r="CC47" s="77" t="s">
        <v>121</v>
      </c>
      <c r="CD47" s="78">
        <f t="shared" si="34"/>
        <v>29</v>
      </c>
    </row>
    <row r="48" spans="1:88" ht="14.4" x14ac:dyDescent="0.3">
      <c r="A48" s="50" t="s">
        <v>122</v>
      </c>
      <c r="B48" s="50" t="s">
        <v>81</v>
      </c>
      <c r="C48" s="68">
        <v>32.496400000000001</v>
      </c>
      <c r="D48" s="68">
        <v>-83.556129999999996</v>
      </c>
      <c r="E48" s="70">
        <v>45425</v>
      </c>
      <c r="F48" s="70">
        <v>45449</v>
      </c>
      <c r="G48" s="67">
        <v>45498</v>
      </c>
      <c r="H48" s="1" t="s">
        <v>25</v>
      </c>
      <c r="I48" s="1" t="s">
        <v>26</v>
      </c>
      <c r="J48" s="59" t="s">
        <v>122</v>
      </c>
      <c r="K48" s="6">
        <v>1</v>
      </c>
      <c r="L48" s="56">
        <v>45456</v>
      </c>
      <c r="M48" s="50">
        <v>2</v>
      </c>
      <c r="N48" s="50">
        <v>0</v>
      </c>
      <c r="O48" s="50">
        <f t="shared" si="3"/>
        <v>2</v>
      </c>
      <c r="P48" s="50" t="s">
        <v>252</v>
      </c>
      <c r="Q48" s="57" t="s">
        <v>252</v>
      </c>
      <c r="T48" s="59" t="s">
        <v>122</v>
      </c>
      <c r="U48" s="6">
        <v>2</v>
      </c>
      <c r="V48" s="56">
        <v>45463</v>
      </c>
      <c r="W48" s="50">
        <v>0</v>
      </c>
      <c r="X48" s="50">
        <v>0</v>
      </c>
      <c r="Y48" s="50">
        <f>SUM(W48+X48)</f>
        <v>0</v>
      </c>
      <c r="Z48" s="50" t="s">
        <v>250</v>
      </c>
      <c r="AA48" s="57" t="s">
        <v>250</v>
      </c>
      <c r="AC48" s="50"/>
      <c r="AD48" s="59" t="s">
        <v>122</v>
      </c>
      <c r="AE48" s="1">
        <v>3</v>
      </c>
      <c r="AF48" s="56">
        <v>45470</v>
      </c>
      <c r="AG48" s="50">
        <v>4</v>
      </c>
      <c r="AH48" s="50">
        <v>1</v>
      </c>
      <c r="AI48" s="50">
        <f t="shared" si="5"/>
        <v>5</v>
      </c>
      <c r="AJ48" s="50" t="s">
        <v>252</v>
      </c>
      <c r="AK48" s="57" t="s">
        <v>252</v>
      </c>
      <c r="AM48" s="50"/>
      <c r="AN48" s="59" t="s">
        <v>122</v>
      </c>
      <c r="AO48" s="1">
        <v>4</v>
      </c>
      <c r="AP48" s="56">
        <v>45477</v>
      </c>
      <c r="AQ48" s="50">
        <v>5</v>
      </c>
      <c r="AR48" s="50">
        <v>0</v>
      </c>
      <c r="AS48" s="50">
        <f t="shared" si="6"/>
        <v>5</v>
      </c>
      <c r="AT48" s="50" t="s">
        <v>252</v>
      </c>
      <c r="AU48" s="57" t="s">
        <v>252</v>
      </c>
      <c r="AW48" s="50"/>
      <c r="AX48" s="59" t="s">
        <v>122</v>
      </c>
      <c r="AY48" s="1">
        <v>5</v>
      </c>
      <c r="AZ48" s="56">
        <v>45484</v>
      </c>
      <c r="BA48" s="50">
        <v>5</v>
      </c>
      <c r="BB48" s="50">
        <v>1</v>
      </c>
      <c r="BC48" s="50">
        <f t="shared" si="12"/>
        <v>6</v>
      </c>
      <c r="BD48" s="50" t="s">
        <v>252</v>
      </c>
      <c r="BE48" s="57" t="s">
        <v>252</v>
      </c>
      <c r="BG48" s="50"/>
      <c r="BH48" s="59" t="s">
        <v>122</v>
      </c>
      <c r="BI48" s="1">
        <v>6</v>
      </c>
      <c r="BJ48" s="56">
        <v>45491</v>
      </c>
      <c r="BK48" s="50">
        <v>0</v>
      </c>
      <c r="BL48" s="50">
        <v>0</v>
      </c>
      <c r="BM48" s="50">
        <f t="shared" ref="BM48:BM49" si="40">SUM(BK48+BL48)</f>
        <v>0</v>
      </c>
      <c r="BN48" s="50" t="s">
        <v>250</v>
      </c>
      <c r="BO48" s="57" t="s">
        <v>250</v>
      </c>
      <c r="BQ48" s="50"/>
      <c r="BR48" s="59" t="s">
        <v>122</v>
      </c>
      <c r="BS48" s="1">
        <v>7</v>
      </c>
      <c r="BT48" s="56">
        <v>45498</v>
      </c>
      <c r="BU48" s="50">
        <v>0</v>
      </c>
      <c r="BV48" s="50">
        <v>3</v>
      </c>
      <c r="BW48" s="50">
        <f t="shared" si="7"/>
        <v>3</v>
      </c>
      <c r="BX48" s="50" t="s">
        <v>252</v>
      </c>
      <c r="BY48" s="50" t="s">
        <v>252</v>
      </c>
      <c r="CC48" s="77" t="s">
        <v>122</v>
      </c>
      <c r="CD48" s="78">
        <f t="shared" si="34"/>
        <v>21</v>
      </c>
    </row>
    <row r="49" spans="1:82" ht="14.4" x14ac:dyDescent="0.3">
      <c r="A49" s="50" t="s">
        <v>123</v>
      </c>
      <c r="B49" s="50" t="s">
        <v>81</v>
      </c>
      <c r="C49" s="68">
        <v>32.502029999999998</v>
      </c>
      <c r="D49" s="68">
        <v>-83.541060000000002</v>
      </c>
      <c r="E49" s="70">
        <v>45425</v>
      </c>
      <c r="F49" s="70">
        <v>45449</v>
      </c>
      <c r="G49" s="67">
        <v>45498</v>
      </c>
      <c r="H49" s="1" t="s">
        <v>25</v>
      </c>
      <c r="I49" s="1" t="s">
        <v>26</v>
      </c>
      <c r="J49" s="59" t="s">
        <v>123</v>
      </c>
      <c r="K49" s="6">
        <v>1</v>
      </c>
      <c r="L49" s="56">
        <v>45456</v>
      </c>
      <c r="M49" s="50">
        <v>0</v>
      </c>
      <c r="N49" s="50">
        <v>0</v>
      </c>
      <c r="O49" s="50">
        <f t="shared" si="3"/>
        <v>0</v>
      </c>
      <c r="P49" s="50" t="s">
        <v>250</v>
      </c>
      <c r="Q49" s="57" t="s">
        <v>250</v>
      </c>
      <c r="T49" s="59" t="s">
        <v>123</v>
      </c>
      <c r="U49" s="6">
        <v>2</v>
      </c>
      <c r="V49" s="56">
        <v>45463</v>
      </c>
      <c r="W49" s="50">
        <v>0</v>
      </c>
      <c r="X49" s="50">
        <v>13</v>
      </c>
      <c r="Y49" s="50">
        <f t="shared" si="4"/>
        <v>13</v>
      </c>
      <c r="Z49" s="50" t="s">
        <v>252</v>
      </c>
      <c r="AA49" s="57" t="s">
        <v>252</v>
      </c>
      <c r="AC49" s="50"/>
      <c r="AD49" s="59" t="s">
        <v>123</v>
      </c>
      <c r="AE49" s="1">
        <v>3</v>
      </c>
      <c r="AF49" s="56">
        <v>45470</v>
      </c>
      <c r="AG49" s="50">
        <v>12</v>
      </c>
      <c r="AH49" s="50">
        <v>5</v>
      </c>
      <c r="AI49" s="50">
        <f t="shared" si="5"/>
        <v>17</v>
      </c>
      <c r="AJ49" s="50" t="s">
        <v>252</v>
      </c>
      <c r="AK49" s="57" t="s">
        <v>252</v>
      </c>
      <c r="AM49" s="50"/>
      <c r="AN49" s="59" t="s">
        <v>123</v>
      </c>
      <c r="AO49" s="1">
        <v>4</v>
      </c>
      <c r="AP49" s="56">
        <v>45477</v>
      </c>
      <c r="AQ49" s="50">
        <v>2</v>
      </c>
      <c r="AR49" s="50">
        <v>0</v>
      </c>
      <c r="AS49" s="50">
        <f t="shared" si="6"/>
        <v>2</v>
      </c>
      <c r="AT49" s="50" t="s">
        <v>252</v>
      </c>
      <c r="AU49" s="57" t="s">
        <v>252</v>
      </c>
      <c r="AW49" s="50"/>
      <c r="AX49" s="59" t="s">
        <v>123</v>
      </c>
      <c r="AY49" s="1">
        <v>5</v>
      </c>
      <c r="AZ49" s="56">
        <v>45484</v>
      </c>
      <c r="BA49" s="50">
        <v>15</v>
      </c>
      <c r="BB49" s="50">
        <v>7</v>
      </c>
      <c r="BC49" s="50">
        <f t="shared" si="12"/>
        <v>22</v>
      </c>
      <c r="BD49" s="50" t="s">
        <v>252</v>
      </c>
      <c r="BE49" s="57" t="s">
        <v>252</v>
      </c>
      <c r="BG49" s="50"/>
      <c r="BH49" s="59" t="s">
        <v>123</v>
      </c>
      <c r="BI49" s="1">
        <v>6</v>
      </c>
      <c r="BJ49" s="56">
        <v>45491</v>
      </c>
      <c r="BK49" s="50">
        <v>2</v>
      </c>
      <c r="BL49" s="50">
        <v>6</v>
      </c>
      <c r="BM49" s="50">
        <f t="shared" si="40"/>
        <v>8</v>
      </c>
      <c r="BN49" s="50" t="s">
        <v>252</v>
      </c>
      <c r="BO49" s="57" t="s">
        <v>250</v>
      </c>
      <c r="BQ49" s="50"/>
      <c r="BR49" s="59" t="s">
        <v>123</v>
      </c>
      <c r="BS49" s="1">
        <v>7</v>
      </c>
      <c r="BT49" s="56">
        <v>45498</v>
      </c>
      <c r="BU49" s="50">
        <v>0</v>
      </c>
      <c r="BV49" s="50">
        <v>0</v>
      </c>
      <c r="BW49" s="50">
        <f t="shared" si="7"/>
        <v>0</v>
      </c>
      <c r="BX49" s="50" t="s">
        <v>250</v>
      </c>
      <c r="BY49" s="50" t="s">
        <v>250</v>
      </c>
      <c r="CC49" s="77" t="s">
        <v>123</v>
      </c>
      <c r="CD49" s="78">
        <f t="shared" si="34"/>
        <v>62</v>
      </c>
    </row>
    <row r="50" spans="1:82" ht="14.4" x14ac:dyDescent="0.3">
      <c r="A50" s="50" t="s">
        <v>124</v>
      </c>
      <c r="B50" s="50" t="s">
        <v>81</v>
      </c>
      <c r="C50" s="68">
        <v>32.497030000000002</v>
      </c>
      <c r="D50" s="68">
        <v>-83.524770000000004</v>
      </c>
      <c r="E50" s="70">
        <v>45428</v>
      </c>
      <c r="F50" s="70">
        <v>45449</v>
      </c>
      <c r="G50" s="67">
        <v>45498</v>
      </c>
      <c r="H50" s="1" t="s">
        <v>25</v>
      </c>
      <c r="I50" s="1" t="s">
        <v>26</v>
      </c>
      <c r="J50" s="59" t="s">
        <v>124</v>
      </c>
      <c r="K50" s="6">
        <v>1</v>
      </c>
      <c r="L50" s="56">
        <v>45456</v>
      </c>
      <c r="M50" s="50">
        <v>1</v>
      </c>
      <c r="N50" s="50">
        <v>0</v>
      </c>
      <c r="O50" s="50">
        <f t="shared" si="3"/>
        <v>1</v>
      </c>
      <c r="P50" s="50" t="s">
        <v>252</v>
      </c>
      <c r="Q50" s="57" t="s">
        <v>250</v>
      </c>
      <c r="T50" s="59" t="s">
        <v>124</v>
      </c>
      <c r="U50" s="6">
        <v>2</v>
      </c>
      <c r="V50" s="56">
        <v>45463</v>
      </c>
      <c r="W50" s="50">
        <v>0</v>
      </c>
      <c r="X50" s="50">
        <v>0</v>
      </c>
      <c r="Y50" s="50">
        <f>SUM(W50+X50)</f>
        <v>0</v>
      </c>
      <c r="Z50" s="50" t="s">
        <v>250</v>
      </c>
      <c r="AA50" s="57" t="s">
        <v>250</v>
      </c>
      <c r="AC50" s="50"/>
      <c r="AD50" s="59" t="s">
        <v>124</v>
      </c>
      <c r="AE50" s="1">
        <v>3</v>
      </c>
      <c r="AF50" s="56">
        <v>45470</v>
      </c>
      <c r="AG50" s="50">
        <v>0</v>
      </c>
      <c r="AH50" s="50">
        <v>0</v>
      </c>
      <c r="AI50" s="50">
        <f t="shared" si="5"/>
        <v>0</v>
      </c>
      <c r="AJ50" s="50" t="s">
        <v>250</v>
      </c>
      <c r="AK50" s="57" t="s">
        <v>250</v>
      </c>
      <c r="AM50" s="50"/>
      <c r="AN50" s="59" t="s">
        <v>124</v>
      </c>
      <c r="AO50" s="1">
        <v>4</v>
      </c>
      <c r="AP50" s="56">
        <v>45477</v>
      </c>
      <c r="AQ50" s="50">
        <v>0</v>
      </c>
      <c r="AR50" s="50">
        <v>0</v>
      </c>
      <c r="AS50" s="50">
        <f t="shared" si="6"/>
        <v>0</v>
      </c>
      <c r="AT50" s="50" t="s">
        <v>250</v>
      </c>
      <c r="AU50" s="57" t="s">
        <v>250</v>
      </c>
      <c r="AW50" s="50"/>
      <c r="AX50" s="59" t="s">
        <v>124</v>
      </c>
      <c r="AY50" s="1">
        <v>5</v>
      </c>
      <c r="AZ50" s="56">
        <v>45484</v>
      </c>
      <c r="BA50" s="50">
        <v>0</v>
      </c>
      <c r="BB50" s="50">
        <v>0</v>
      </c>
      <c r="BC50" s="50">
        <f t="shared" si="12"/>
        <v>0</v>
      </c>
      <c r="BD50" s="50" t="s">
        <v>250</v>
      </c>
      <c r="BE50" s="57" t="s">
        <v>250</v>
      </c>
      <c r="BG50" s="50"/>
      <c r="BH50" s="59" t="s">
        <v>124</v>
      </c>
      <c r="BI50" s="1">
        <v>6</v>
      </c>
      <c r="BJ50" s="56">
        <v>45491</v>
      </c>
      <c r="BK50" s="50">
        <v>1</v>
      </c>
      <c r="BL50" s="50">
        <v>0</v>
      </c>
      <c r="BM50" s="50">
        <f t="shared" si="13"/>
        <v>1</v>
      </c>
      <c r="BN50" s="50" t="s">
        <v>252</v>
      </c>
      <c r="BO50" s="57" t="s">
        <v>252</v>
      </c>
      <c r="BQ50" s="50"/>
      <c r="BR50" s="59" t="s">
        <v>124</v>
      </c>
      <c r="BS50" s="1">
        <v>7</v>
      </c>
      <c r="BT50" s="56">
        <v>45498</v>
      </c>
      <c r="BU50" s="50">
        <v>7</v>
      </c>
      <c r="BV50" s="50">
        <v>4</v>
      </c>
      <c r="BW50" s="50">
        <f t="shared" si="7"/>
        <v>11</v>
      </c>
      <c r="BX50" s="50" t="s">
        <v>252</v>
      </c>
      <c r="BY50" s="50" t="s">
        <v>252</v>
      </c>
      <c r="CC50" s="77" t="s">
        <v>124</v>
      </c>
      <c r="CD50" s="78">
        <f t="shared" si="34"/>
        <v>13</v>
      </c>
    </row>
    <row r="51" spans="1:82" ht="14.4" x14ac:dyDescent="0.3">
      <c r="A51" s="50" t="s">
        <v>125</v>
      </c>
      <c r="B51" s="50" t="s">
        <v>81</v>
      </c>
      <c r="C51" s="68">
        <v>32.50752</v>
      </c>
      <c r="D51" s="68">
        <v>-83.556280000000001</v>
      </c>
      <c r="E51" s="70">
        <v>45425</v>
      </c>
      <c r="F51" s="70">
        <v>45449</v>
      </c>
      <c r="G51" s="67">
        <v>45498</v>
      </c>
      <c r="H51" s="1" t="s">
        <v>25</v>
      </c>
      <c r="I51" s="1" t="s">
        <v>26</v>
      </c>
      <c r="J51" s="59" t="s">
        <v>125</v>
      </c>
      <c r="K51" s="6">
        <v>1</v>
      </c>
      <c r="L51" s="56">
        <v>45456</v>
      </c>
      <c r="M51" s="50">
        <v>3</v>
      </c>
      <c r="N51" s="50">
        <v>2</v>
      </c>
      <c r="O51" s="50">
        <f t="shared" si="3"/>
        <v>5</v>
      </c>
      <c r="P51" s="50" t="s">
        <v>252</v>
      </c>
      <c r="Q51" s="57" t="s">
        <v>250</v>
      </c>
      <c r="T51" s="59" t="s">
        <v>125</v>
      </c>
      <c r="U51" s="6">
        <v>2</v>
      </c>
      <c r="V51" s="56">
        <v>45463</v>
      </c>
      <c r="W51" s="50">
        <v>2</v>
      </c>
      <c r="X51" s="50">
        <v>0</v>
      </c>
      <c r="Y51" s="50">
        <f t="shared" si="4"/>
        <v>2</v>
      </c>
      <c r="Z51" s="50" t="s">
        <v>252</v>
      </c>
      <c r="AA51" s="57" t="s">
        <v>250</v>
      </c>
      <c r="AC51" s="50"/>
      <c r="AD51" s="59" t="s">
        <v>125</v>
      </c>
      <c r="AE51" s="1">
        <v>3</v>
      </c>
      <c r="AF51" s="56">
        <v>45470</v>
      </c>
      <c r="AG51" s="50">
        <v>0</v>
      </c>
      <c r="AH51" s="50">
        <v>0</v>
      </c>
      <c r="AI51" s="50">
        <f t="shared" si="5"/>
        <v>0</v>
      </c>
      <c r="AJ51" s="50" t="s">
        <v>250</v>
      </c>
      <c r="AK51" s="57" t="s">
        <v>250</v>
      </c>
      <c r="AM51" s="50"/>
      <c r="AN51" s="59" t="s">
        <v>125</v>
      </c>
      <c r="AO51" s="1">
        <v>4</v>
      </c>
      <c r="AP51" s="56">
        <v>45477</v>
      </c>
      <c r="AQ51" s="50">
        <v>10</v>
      </c>
      <c r="AR51" s="50">
        <v>3</v>
      </c>
      <c r="AS51" s="50">
        <f t="shared" si="6"/>
        <v>13</v>
      </c>
      <c r="AT51" s="50" t="s">
        <v>252</v>
      </c>
      <c r="AU51" s="57" t="s">
        <v>252</v>
      </c>
      <c r="AW51" s="50"/>
      <c r="AX51" s="59" t="s">
        <v>125</v>
      </c>
      <c r="AY51" s="1">
        <v>5</v>
      </c>
      <c r="AZ51" s="56">
        <v>45484</v>
      </c>
      <c r="BA51" s="50">
        <v>5</v>
      </c>
      <c r="BB51" s="50">
        <v>3</v>
      </c>
      <c r="BC51" s="50">
        <f t="shared" si="12"/>
        <v>8</v>
      </c>
      <c r="BD51" s="50" t="s">
        <v>252</v>
      </c>
      <c r="BE51" s="57" t="s">
        <v>252</v>
      </c>
      <c r="BG51" s="50"/>
      <c r="BH51" s="59" t="s">
        <v>125</v>
      </c>
      <c r="BI51" s="1">
        <v>6</v>
      </c>
      <c r="BJ51" s="56">
        <v>45491</v>
      </c>
      <c r="BK51" s="50">
        <v>0</v>
      </c>
      <c r="BL51" s="50">
        <v>0</v>
      </c>
      <c r="BM51" s="50">
        <f t="shared" si="13"/>
        <v>0</v>
      </c>
      <c r="BN51" s="50" t="s">
        <v>250</v>
      </c>
      <c r="BO51" s="57" t="s">
        <v>250</v>
      </c>
      <c r="BQ51" s="50"/>
      <c r="BR51" s="59" t="s">
        <v>125</v>
      </c>
      <c r="BS51" s="1">
        <v>7</v>
      </c>
      <c r="BT51" s="56">
        <v>45498</v>
      </c>
      <c r="BU51" s="50">
        <v>0</v>
      </c>
      <c r="BV51" s="50">
        <v>0</v>
      </c>
      <c r="BW51" s="50">
        <f t="shared" si="7"/>
        <v>0</v>
      </c>
      <c r="BX51" s="50" t="s">
        <v>250</v>
      </c>
      <c r="BY51" s="50" t="s">
        <v>250</v>
      </c>
      <c r="CC51" s="77" t="s">
        <v>125</v>
      </c>
      <c r="CD51" s="78">
        <f t="shared" si="34"/>
        <v>28</v>
      </c>
    </row>
    <row r="52" spans="1:82" ht="14.4" x14ac:dyDescent="0.3">
      <c r="A52" s="50" t="s">
        <v>126</v>
      </c>
      <c r="B52" s="50" t="s">
        <v>81</v>
      </c>
      <c r="C52" s="68">
        <v>32.507910000000003</v>
      </c>
      <c r="D52" s="68">
        <v>-83.547210000000007</v>
      </c>
      <c r="E52" s="70">
        <v>45425</v>
      </c>
      <c r="F52" s="70">
        <v>45449</v>
      </c>
      <c r="G52" s="67">
        <v>45498</v>
      </c>
      <c r="H52" s="1" t="s">
        <v>25</v>
      </c>
      <c r="I52" s="1" t="s">
        <v>26</v>
      </c>
      <c r="J52" s="59" t="s">
        <v>126</v>
      </c>
      <c r="K52" s="6">
        <v>1</v>
      </c>
      <c r="L52" s="56">
        <v>45456</v>
      </c>
      <c r="M52" s="50">
        <v>16</v>
      </c>
      <c r="N52" s="50">
        <v>9</v>
      </c>
      <c r="O52" s="50">
        <f t="shared" si="3"/>
        <v>25</v>
      </c>
      <c r="P52" s="50" t="s">
        <v>252</v>
      </c>
      <c r="Q52" s="57" t="s">
        <v>252</v>
      </c>
      <c r="T52" s="59" t="s">
        <v>126</v>
      </c>
      <c r="U52" s="6">
        <v>2</v>
      </c>
      <c r="V52" s="56">
        <v>45463</v>
      </c>
      <c r="W52" s="50">
        <v>16</v>
      </c>
      <c r="X52" s="50">
        <v>10</v>
      </c>
      <c r="Y52" s="50">
        <f t="shared" si="4"/>
        <v>26</v>
      </c>
      <c r="Z52" s="50" t="s">
        <v>252</v>
      </c>
      <c r="AA52" s="57" t="s">
        <v>252</v>
      </c>
      <c r="AC52" s="50"/>
      <c r="AD52" s="59" t="s">
        <v>126</v>
      </c>
      <c r="AE52" s="1">
        <v>3</v>
      </c>
      <c r="AF52" s="56">
        <v>45470</v>
      </c>
      <c r="AG52" s="50">
        <v>18</v>
      </c>
      <c r="AH52" s="50">
        <v>4</v>
      </c>
      <c r="AI52" s="50">
        <f t="shared" si="5"/>
        <v>22</v>
      </c>
      <c r="AJ52" s="50" t="s">
        <v>252</v>
      </c>
      <c r="AK52" s="57" t="s">
        <v>252</v>
      </c>
      <c r="AM52" s="50"/>
      <c r="AN52" s="59" t="s">
        <v>126</v>
      </c>
      <c r="AO52" s="1">
        <v>4</v>
      </c>
      <c r="AP52" s="56">
        <v>45477</v>
      </c>
      <c r="AQ52" s="50">
        <v>1</v>
      </c>
      <c r="AR52" s="50">
        <v>0</v>
      </c>
      <c r="AS52" s="50">
        <f t="shared" si="6"/>
        <v>1</v>
      </c>
      <c r="AT52" s="50" t="s">
        <v>252</v>
      </c>
      <c r="AU52" s="57" t="s">
        <v>250</v>
      </c>
      <c r="AW52" s="50"/>
      <c r="AX52" s="59" t="s">
        <v>126</v>
      </c>
      <c r="AY52" s="1">
        <v>5</v>
      </c>
      <c r="AZ52" s="56">
        <v>45474</v>
      </c>
      <c r="BA52" s="50">
        <v>6</v>
      </c>
      <c r="BB52" s="50">
        <v>5</v>
      </c>
      <c r="BC52" s="50">
        <f t="shared" si="12"/>
        <v>11</v>
      </c>
      <c r="BD52" s="50" t="s">
        <v>252</v>
      </c>
      <c r="BE52" s="57" t="s">
        <v>252</v>
      </c>
      <c r="BG52" s="50"/>
      <c r="BH52" s="59" t="s">
        <v>126</v>
      </c>
      <c r="BI52" s="1">
        <v>6</v>
      </c>
      <c r="BJ52" s="56">
        <v>45491</v>
      </c>
      <c r="BK52" s="50">
        <v>0</v>
      </c>
      <c r="BL52" s="50">
        <v>2</v>
      </c>
      <c r="BM52" s="50">
        <f t="shared" si="13"/>
        <v>2</v>
      </c>
      <c r="BN52" s="50" t="s">
        <v>252</v>
      </c>
      <c r="BO52" s="57" t="s">
        <v>250</v>
      </c>
      <c r="BQ52" s="50"/>
      <c r="BR52" s="59" t="s">
        <v>126</v>
      </c>
      <c r="BS52" s="1">
        <v>7</v>
      </c>
      <c r="BT52" s="56">
        <v>45498</v>
      </c>
      <c r="BU52" s="50">
        <v>7</v>
      </c>
      <c r="BV52" s="50">
        <v>4</v>
      </c>
      <c r="BW52" s="50">
        <f t="shared" si="7"/>
        <v>11</v>
      </c>
      <c r="BX52" s="50" t="s">
        <v>252</v>
      </c>
      <c r="BY52" s="50" t="s">
        <v>252</v>
      </c>
      <c r="CC52" s="77" t="s">
        <v>126</v>
      </c>
      <c r="CD52" s="78">
        <f t="shared" si="34"/>
        <v>98</v>
      </c>
    </row>
    <row r="53" spans="1:82" ht="14.4" x14ac:dyDescent="0.3">
      <c r="A53" s="50" t="s">
        <v>127</v>
      </c>
      <c r="B53" s="50" t="s">
        <v>84</v>
      </c>
      <c r="C53" s="68">
        <v>32.342469999999999</v>
      </c>
      <c r="D53" s="68">
        <v>-83.495819999999995</v>
      </c>
      <c r="E53" s="70">
        <v>45433</v>
      </c>
      <c r="F53" s="70">
        <v>45448</v>
      </c>
      <c r="G53" s="67">
        <v>45497</v>
      </c>
      <c r="H53" s="1" t="s">
        <v>25</v>
      </c>
      <c r="I53" s="1" t="s">
        <v>26</v>
      </c>
      <c r="J53" s="59" t="s">
        <v>127</v>
      </c>
      <c r="K53" s="6">
        <v>1</v>
      </c>
      <c r="L53" s="56">
        <v>45455</v>
      </c>
      <c r="M53" s="50">
        <v>0</v>
      </c>
      <c r="N53" s="50">
        <v>0</v>
      </c>
      <c r="O53" s="50">
        <f t="shared" si="3"/>
        <v>0</v>
      </c>
      <c r="P53" s="50" t="s">
        <v>250</v>
      </c>
      <c r="Q53" s="57" t="s">
        <v>250</v>
      </c>
      <c r="T53" s="59" t="s">
        <v>127</v>
      </c>
      <c r="U53" s="6">
        <v>2</v>
      </c>
      <c r="V53" s="56">
        <v>45462</v>
      </c>
      <c r="W53" s="50">
        <v>0</v>
      </c>
      <c r="X53" s="50">
        <v>0</v>
      </c>
      <c r="Y53" s="50">
        <f t="shared" si="4"/>
        <v>0</v>
      </c>
      <c r="Z53" s="50" t="s">
        <v>250</v>
      </c>
      <c r="AA53" s="57" t="s">
        <v>250</v>
      </c>
      <c r="AC53" s="50"/>
      <c r="AD53" s="59" t="s">
        <v>127</v>
      </c>
      <c r="AE53" s="1">
        <v>3</v>
      </c>
      <c r="AF53" s="56">
        <v>45469</v>
      </c>
      <c r="AG53" s="50">
        <v>0</v>
      </c>
      <c r="AH53" s="50">
        <v>0</v>
      </c>
      <c r="AI53" s="50">
        <f t="shared" si="5"/>
        <v>0</v>
      </c>
      <c r="AJ53" s="50" t="s">
        <v>250</v>
      </c>
      <c r="AK53" s="57" t="s">
        <v>250</v>
      </c>
      <c r="AM53" s="50"/>
      <c r="AN53" s="59" t="s">
        <v>127</v>
      </c>
      <c r="AO53" s="1">
        <v>4</v>
      </c>
      <c r="AP53" s="56">
        <v>45476</v>
      </c>
      <c r="AQ53" s="50">
        <v>0</v>
      </c>
      <c r="AR53" s="50">
        <v>0</v>
      </c>
      <c r="AS53" s="50">
        <f t="shared" si="6"/>
        <v>0</v>
      </c>
      <c r="AT53" s="50" t="s">
        <v>250</v>
      </c>
      <c r="AU53" s="57" t="s">
        <v>250</v>
      </c>
      <c r="AW53" s="50"/>
      <c r="AX53" s="59" t="s">
        <v>127</v>
      </c>
      <c r="AY53" s="1">
        <v>5</v>
      </c>
      <c r="AZ53" s="56">
        <v>45483</v>
      </c>
      <c r="BA53" s="50">
        <v>0</v>
      </c>
      <c r="BB53" s="50">
        <v>0</v>
      </c>
      <c r="BC53" s="50">
        <f t="shared" si="12"/>
        <v>0</v>
      </c>
      <c r="BD53" s="50" t="s">
        <v>250</v>
      </c>
      <c r="BE53" s="57" t="s">
        <v>250</v>
      </c>
      <c r="BG53" s="50"/>
      <c r="BH53" s="59" t="s">
        <v>127</v>
      </c>
      <c r="BI53" s="1">
        <v>6</v>
      </c>
      <c r="BJ53" s="56">
        <v>45490</v>
      </c>
      <c r="BK53" s="50">
        <v>0</v>
      </c>
      <c r="BL53" s="50">
        <v>0</v>
      </c>
      <c r="BM53" s="50">
        <f t="shared" si="13"/>
        <v>0</v>
      </c>
      <c r="BN53" s="50" t="s">
        <v>250</v>
      </c>
      <c r="BO53" s="57" t="s">
        <v>250</v>
      </c>
      <c r="BQ53" s="50"/>
      <c r="BR53" s="59" t="s">
        <v>127</v>
      </c>
      <c r="BS53" s="1">
        <v>7</v>
      </c>
      <c r="BT53" s="56">
        <v>45497</v>
      </c>
      <c r="BU53" s="50">
        <v>0</v>
      </c>
      <c r="BV53" s="50">
        <v>0</v>
      </c>
      <c r="BW53" s="50">
        <f t="shared" si="7"/>
        <v>0</v>
      </c>
      <c r="BX53" s="50" t="s">
        <v>250</v>
      </c>
      <c r="BY53" s="50" t="s">
        <v>250</v>
      </c>
      <c r="CC53" s="77" t="s">
        <v>127</v>
      </c>
      <c r="CD53" s="78">
        <f t="shared" si="34"/>
        <v>0</v>
      </c>
    </row>
    <row r="54" spans="1:82" ht="14.4" x14ac:dyDescent="0.3">
      <c r="A54" s="50" t="s">
        <v>128</v>
      </c>
      <c r="B54" s="50" t="s">
        <v>84</v>
      </c>
      <c r="C54" s="68">
        <v>32.343220000000002</v>
      </c>
      <c r="D54" s="68">
        <v>-83.482550000000003</v>
      </c>
      <c r="E54" s="70">
        <v>45433</v>
      </c>
      <c r="F54" s="70">
        <v>45448</v>
      </c>
      <c r="G54" s="67">
        <v>45497</v>
      </c>
      <c r="H54" s="1" t="s">
        <v>25</v>
      </c>
      <c r="I54" s="1" t="s">
        <v>26</v>
      </c>
      <c r="J54" s="59" t="s">
        <v>128</v>
      </c>
      <c r="K54" s="6">
        <v>1</v>
      </c>
      <c r="L54" s="56">
        <f>L53</f>
        <v>45455</v>
      </c>
      <c r="M54" s="50">
        <v>0</v>
      </c>
      <c r="N54" s="50">
        <v>0</v>
      </c>
      <c r="O54" s="50">
        <f t="shared" si="3"/>
        <v>0</v>
      </c>
      <c r="P54" s="50" t="s">
        <v>250</v>
      </c>
      <c r="Q54" s="57" t="s">
        <v>250</v>
      </c>
      <c r="T54" s="59" t="s">
        <v>128</v>
      </c>
      <c r="U54" s="6">
        <v>2</v>
      </c>
      <c r="V54" s="56">
        <v>45462</v>
      </c>
      <c r="W54" s="50">
        <v>0</v>
      </c>
      <c r="X54" s="50">
        <v>0</v>
      </c>
      <c r="Y54" s="50">
        <f t="shared" ref="Y54:Y65" si="41">SUM(W54+X54)</f>
        <v>0</v>
      </c>
      <c r="Z54" s="50" t="s">
        <v>250</v>
      </c>
      <c r="AA54" s="57" t="s">
        <v>250</v>
      </c>
      <c r="AC54" s="50"/>
      <c r="AD54" s="59" t="s">
        <v>128</v>
      </c>
      <c r="AE54" s="1">
        <v>3</v>
      </c>
      <c r="AF54" s="56">
        <v>45469</v>
      </c>
      <c r="AG54" s="50">
        <v>0</v>
      </c>
      <c r="AH54" s="50">
        <v>0</v>
      </c>
      <c r="AI54" s="50">
        <f t="shared" ref="AI54:AI55" si="42">SUM(AG54+AH54)</f>
        <v>0</v>
      </c>
      <c r="AJ54" s="50" t="s">
        <v>250</v>
      </c>
      <c r="AK54" s="57" t="s">
        <v>250</v>
      </c>
      <c r="AM54" s="50"/>
      <c r="AN54" s="59" t="s">
        <v>128</v>
      </c>
      <c r="AO54" s="1">
        <v>4</v>
      </c>
      <c r="AP54" s="56">
        <v>45476</v>
      </c>
      <c r="AQ54" s="50">
        <v>10</v>
      </c>
      <c r="AR54" s="50">
        <v>7</v>
      </c>
      <c r="AS54" s="50">
        <f t="shared" si="6"/>
        <v>17</v>
      </c>
      <c r="AT54" s="50" t="s">
        <v>252</v>
      </c>
      <c r="AU54" s="57" t="s">
        <v>250</v>
      </c>
      <c r="AW54" s="50"/>
      <c r="AX54" s="59" t="s">
        <v>128</v>
      </c>
      <c r="AY54" s="1">
        <v>5</v>
      </c>
      <c r="AZ54" s="56">
        <v>45483</v>
      </c>
      <c r="BA54" s="50">
        <v>0</v>
      </c>
      <c r="BB54" s="50">
        <v>0</v>
      </c>
      <c r="BC54" s="50">
        <f t="shared" ref="BC54:BC65" si="43">SUM(BA54+BB54)</f>
        <v>0</v>
      </c>
      <c r="BD54" s="50" t="s">
        <v>250</v>
      </c>
      <c r="BE54" s="57" t="s">
        <v>250</v>
      </c>
      <c r="BG54" s="50"/>
      <c r="BH54" s="59" t="s">
        <v>128</v>
      </c>
      <c r="BI54" s="1">
        <v>6</v>
      </c>
      <c r="BJ54" s="56">
        <v>45490</v>
      </c>
      <c r="BK54" s="50">
        <v>0</v>
      </c>
      <c r="BL54" s="50">
        <v>0</v>
      </c>
      <c r="BM54" s="50">
        <f t="shared" ref="BM54:BM61" si="44">SUM(BK54+BL54)</f>
        <v>0</v>
      </c>
      <c r="BN54" s="50" t="s">
        <v>250</v>
      </c>
      <c r="BO54" s="57" t="s">
        <v>250</v>
      </c>
      <c r="BQ54" s="50"/>
      <c r="BR54" s="59" t="s">
        <v>128</v>
      </c>
      <c r="BS54" s="1">
        <v>7</v>
      </c>
      <c r="BT54" s="56">
        <v>45497</v>
      </c>
      <c r="BU54" s="50">
        <v>0</v>
      </c>
      <c r="BV54" s="50">
        <v>0</v>
      </c>
      <c r="BW54" s="50">
        <f t="shared" ref="BW54:BW57" si="45">SUM(BU54+BV54)</f>
        <v>0</v>
      </c>
      <c r="BX54" s="50" t="s">
        <v>250</v>
      </c>
      <c r="BY54" s="50" t="s">
        <v>250</v>
      </c>
      <c r="CC54" s="77" t="s">
        <v>128</v>
      </c>
      <c r="CD54" s="78">
        <f t="shared" si="34"/>
        <v>17</v>
      </c>
    </row>
    <row r="55" spans="1:82" ht="14.4" x14ac:dyDescent="0.3">
      <c r="A55" s="50" t="s">
        <v>129</v>
      </c>
      <c r="B55" s="50" t="s">
        <v>84</v>
      </c>
      <c r="C55" s="68">
        <v>32.344839999999998</v>
      </c>
      <c r="D55" s="68">
        <v>-83.470110000000005</v>
      </c>
      <c r="E55" s="70">
        <v>45433</v>
      </c>
      <c r="F55" s="70">
        <v>45448</v>
      </c>
      <c r="G55" s="67">
        <v>45497</v>
      </c>
      <c r="H55" s="1" t="s">
        <v>25</v>
      </c>
      <c r="I55" s="1" t="s">
        <v>26</v>
      </c>
      <c r="J55" s="59" t="s">
        <v>129</v>
      </c>
      <c r="K55" s="6">
        <v>1</v>
      </c>
      <c r="L55" s="56">
        <f t="shared" ref="L55:L78" si="46">L54</f>
        <v>45455</v>
      </c>
      <c r="M55" s="50">
        <v>0</v>
      </c>
      <c r="N55" s="50">
        <v>0</v>
      </c>
      <c r="O55" s="50">
        <f t="shared" si="3"/>
        <v>0</v>
      </c>
      <c r="P55" s="50" t="s">
        <v>250</v>
      </c>
      <c r="Q55" s="57" t="s">
        <v>250</v>
      </c>
      <c r="T55" s="59" t="s">
        <v>129</v>
      </c>
      <c r="U55" s="6">
        <v>2</v>
      </c>
      <c r="V55" s="56">
        <v>45462</v>
      </c>
      <c r="W55" s="50">
        <v>0</v>
      </c>
      <c r="X55" s="50">
        <v>0</v>
      </c>
      <c r="Y55" s="50">
        <f t="shared" si="41"/>
        <v>0</v>
      </c>
      <c r="Z55" s="50" t="s">
        <v>250</v>
      </c>
      <c r="AA55" s="57" t="s">
        <v>250</v>
      </c>
      <c r="AC55" s="50"/>
      <c r="AD55" s="59" t="s">
        <v>129</v>
      </c>
      <c r="AE55" s="1">
        <v>3</v>
      </c>
      <c r="AF55" s="56">
        <v>45469</v>
      </c>
      <c r="AG55" s="50">
        <v>1</v>
      </c>
      <c r="AH55" s="50">
        <v>0</v>
      </c>
      <c r="AI55" s="50">
        <f t="shared" si="42"/>
        <v>1</v>
      </c>
      <c r="AJ55" s="50" t="s">
        <v>261</v>
      </c>
      <c r="AK55" s="57" t="s">
        <v>250</v>
      </c>
      <c r="AM55" s="50"/>
      <c r="AN55" s="59" t="s">
        <v>129</v>
      </c>
      <c r="AO55" s="1">
        <v>4</v>
      </c>
      <c r="AP55" s="56">
        <v>45476</v>
      </c>
      <c r="AQ55" s="50">
        <v>1</v>
      </c>
      <c r="AR55" s="50">
        <v>0</v>
      </c>
      <c r="AS55" s="50">
        <f t="shared" si="6"/>
        <v>1</v>
      </c>
      <c r="AT55" s="50" t="s">
        <v>252</v>
      </c>
      <c r="AU55" s="57" t="s">
        <v>250</v>
      </c>
      <c r="AW55" s="50"/>
      <c r="AX55" s="59" t="s">
        <v>129</v>
      </c>
      <c r="AY55" s="1">
        <v>5</v>
      </c>
      <c r="AZ55" s="56">
        <v>45483</v>
      </c>
      <c r="BA55" s="50">
        <v>0</v>
      </c>
      <c r="BB55" s="50">
        <v>0</v>
      </c>
      <c r="BC55" s="50">
        <f t="shared" si="43"/>
        <v>0</v>
      </c>
      <c r="BD55" s="50" t="s">
        <v>250</v>
      </c>
      <c r="BE55" s="57" t="s">
        <v>250</v>
      </c>
      <c r="BG55" s="50"/>
      <c r="BH55" s="59" t="s">
        <v>129</v>
      </c>
      <c r="BI55" s="1">
        <v>6</v>
      </c>
      <c r="BJ55" s="56">
        <v>45490</v>
      </c>
      <c r="BK55" s="50">
        <v>0</v>
      </c>
      <c r="BL55" s="50">
        <v>0</v>
      </c>
      <c r="BM55" s="50">
        <f t="shared" si="44"/>
        <v>0</v>
      </c>
      <c r="BN55" s="50" t="s">
        <v>250</v>
      </c>
      <c r="BO55" s="57" t="s">
        <v>250</v>
      </c>
      <c r="BQ55" s="50"/>
      <c r="BR55" s="59" t="s">
        <v>129</v>
      </c>
      <c r="BS55" s="1">
        <v>7</v>
      </c>
      <c r="BT55" s="56">
        <v>45497</v>
      </c>
      <c r="BU55" s="50">
        <v>0</v>
      </c>
      <c r="BV55" s="50">
        <v>0</v>
      </c>
      <c r="BW55" s="50">
        <f t="shared" si="45"/>
        <v>0</v>
      </c>
      <c r="BX55" s="50" t="s">
        <v>250</v>
      </c>
      <c r="BY55" s="50" t="s">
        <v>250</v>
      </c>
      <c r="CC55" s="77" t="s">
        <v>129</v>
      </c>
      <c r="CD55" s="78">
        <f t="shared" si="34"/>
        <v>2</v>
      </c>
    </row>
    <row r="56" spans="1:82" ht="14.4" x14ac:dyDescent="0.3">
      <c r="A56" s="50" t="s">
        <v>249</v>
      </c>
      <c r="B56" s="50" t="s">
        <v>84</v>
      </c>
      <c r="C56" s="68">
        <v>32.351790000000001</v>
      </c>
      <c r="D56" s="68">
        <v>-83.496740000000003</v>
      </c>
      <c r="E56" s="70">
        <v>45433</v>
      </c>
      <c r="F56" s="70">
        <v>45448</v>
      </c>
      <c r="G56" s="67">
        <v>45497</v>
      </c>
      <c r="H56" s="1" t="s">
        <v>25</v>
      </c>
      <c r="I56" s="1" t="s">
        <v>26</v>
      </c>
      <c r="J56" s="59" t="s">
        <v>130</v>
      </c>
      <c r="K56" s="6">
        <v>1</v>
      </c>
      <c r="L56" s="56">
        <f t="shared" si="46"/>
        <v>45455</v>
      </c>
      <c r="M56" s="50">
        <v>1</v>
      </c>
      <c r="N56" s="50">
        <v>0</v>
      </c>
      <c r="O56" s="50">
        <f t="shared" si="3"/>
        <v>1</v>
      </c>
      <c r="P56" s="50" t="s">
        <v>250</v>
      </c>
      <c r="Q56" s="57" t="s">
        <v>252</v>
      </c>
      <c r="R56" s="57" t="s">
        <v>260</v>
      </c>
      <c r="T56" s="59" t="s">
        <v>130</v>
      </c>
      <c r="U56" s="6">
        <v>2</v>
      </c>
      <c r="V56" s="56">
        <v>45462</v>
      </c>
      <c r="W56" s="50">
        <v>1</v>
      </c>
      <c r="X56" s="50">
        <v>0</v>
      </c>
      <c r="Y56" s="50">
        <f t="shared" si="41"/>
        <v>1</v>
      </c>
      <c r="Z56" s="50" t="s">
        <v>250</v>
      </c>
      <c r="AA56" s="57" t="s">
        <v>250</v>
      </c>
      <c r="AB56" s="50" t="s">
        <v>253</v>
      </c>
      <c r="AC56" s="50"/>
      <c r="AD56" s="59" t="s">
        <v>130</v>
      </c>
      <c r="AE56" s="1">
        <v>3</v>
      </c>
      <c r="AF56" s="56">
        <v>45469</v>
      </c>
      <c r="AG56" s="50">
        <v>0</v>
      </c>
      <c r="AH56" s="50">
        <v>0</v>
      </c>
      <c r="AI56" s="50">
        <f t="shared" ref="AI56:AI59" si="47">SUM(AG56+AH56)</f>
        <v>0</v>
      </c>
      <c r="AJ56" s="50" t="s">
        <v>250</v>
      </c>
      <c r="AK56" s="57" t="s">
        <v>250</v>
      </c>
      <c r="AM56" s="50"/>
      <c r="AN56" s="59" t="s">
        <v>130</v>
      </c>
      <c r="AO56" s="1">
        <v>4</v>
      </c>
      <c r="AP56" s="56">
        <v>45476</v>
      </c>
      <c r="AQ56" s="50">
        <v>0</v>
      </c>
      <c r="AR56" s="50">
        <v>0</v>
      </c>
      <c r="AS56" s="50">
        <f t="shared" si="6"/>
        <v>0</v>
      </c>
      <c r="AT56" s="50" t="s">
        <v>250</v>
      </c>
      <c r="AU56" s="57" t="s">
        <v>250</v>
      </c>
      <c r="AW56" s="50"/>
      <c r="AX56" s="59" t="s">
        <v>130</v>
      </c>
      <c r="AY56" s="1">
        <v>5</v>
      </c>
      <c r="AZ56" s="56">
        <v>45483</v>
      </c>
      <c r="BA56" s="50">
        <v>0</v>
      </c>
      <c r="BB56" s="50">
        <v>0</v>
      </c>
      <c r="BC56" s="50">
        <f t="shared" si="43"/>
        <v>0</v>
      </c>
      <c r="BD56" s="50" t="s">
        <v>250</v>
      </c>
      <c r="BE56" s="57" t="s">
        <v>250</v>
      </c>
      <c r="BG56" s="50"/>
      <c r="BH56" s="59" t="s">
        <v>130</v>
      </c>
      <c r="BI56" s="1">
        <v>6</v>
      </c>
      <c r="BJ56" s="56">
        <v>45490</v>
      </c>
      <c r="BK56" s="50">
        <v>0</v>
      </c>
      <c r="BL56" s="50">
        <v>0</v>
      </c>
      <c r="BM56" s="50">
        <f t="shared" si="44"/>
        <v>0</v>
      </c>
      <c r="BN56" s="50" t="s">
        <v>250</v>
      </c>
      <c r="BO56" s="57" t="s">
        <v>250</v>
      </c>
      <c r="BQ56" s="50"/>
      <c r="BR56" s="59" t="s">
        <v>130</v>
      </c>
      <c r="BS56" s="1">
        <v>7</v>
      </c>
      <c r="BT56" s="56">
        <v>45497</v>
      </c>
      <c r="BU56" s="50">
        <v>0</v>
      </c>
      <c r="BV56" s="50">
        <v>0</v>
      </c>
      <c r="BW56" s="50">
        <f t="shared" si="45"/>
        <v>0</v>
      </c>
      <c r="BX56" s="50" t="s">
        <v>250</v>
      </c>
      <c r="BY56" s="50" t="s">
        <v>250</v>
      </c>
      <c r="CC56" s="77" t="s">
        <v>130</v>
      </c>
      <c r="CD56" s="78">
        <f t="shared" si="34"/>
        <v>2</v>
      </c>
    </row>
    <row r="57" spans="1:82" ht="14.4" x14ac:dyDescent="0.3">
      <c r="A57" s="50" t="s">
        <v>131</v>
      </c>
      <c r="B57" s="50" t="s">
        <v>84</v>
      </c>
      <c r="C57" s="68">
        <v>32.358420000000002</v>
      </c>
      <c r="D57" s="68">
        <v>-83.485039999999998</v>
      </c>
      <c r="E57" s="70">
        <v>45433</v>
      </c>
      <c r="F57" s="70">
        <v>45448</v>
      </c>
      <c r="G57" s="67">
        <v>45497</v>
      </c>
      <c r="H57" s="1" t="s">
        <v>25</v>
      </c>
      <c r="I57" s="1" t="s">
        <v>26</v>
      </c>
      <c r="J57" s="59" t="s">
        <v>131</v>
      </c>
      <c r="K57" s="6">
        <v>1</v>
      </c>
      <c r="L57" s="56">
        <f t="shared" si="46"/>
        <v>45455</v>
      </c>
      <c r="M57" s="50">
        <v>1</v>
      </c>
      <c r="N57" s="50">
        <v>1</v>
      </c>
      <c r="O57" s="50">
        <f t="shared" si="3"/>
        <v>2</v>
      </c>
      <c r="P57" s="50" t="s">
        <v>250</v>
      </c>
      <c r="Q57" s="57" t="s">
        <v>250</v>
      </c>
      <c r="R57" s="57" t="s">
        <v>266</v>
      </c>
      <c r="T57" s="59" t="s">
        <v>131</v>
      </c>
      <c r="U57" s="6">
        <v>2</v>
      </c>
      <c r="V57" s="56">
        <v>45462</v>
      </c>
      <c r="W57" s="50">
        <v>0</v>
      </c>
      <c r="X57" s="50">
        <v>0</v>
      </c>
      <c r="Y57" s="50">
        <f t="shared" si="41"/>
        <v>0</v>
      </c>
      <c r="Z57" s="50" t="s">
        <v>250</v>
      </c>
      <c r="AA57" s="57" t="s">
        <v>250</v>
      </c>
      <c r="AC57" s="50"/>
      <c r="AD57" s="59" t="s">
        <v>131</v>
      </c>
      <c r="AE57" s="1">
        <v>3</v>
      </c>
      <c r="AF57" s="56">
        <v>45469</v>
      </c>
      <c r="AG57" s="50">
        <v>0</v>
      </c>
      <c r="AH57" s="50">
        <v>0</v>
      </c>
      <c r="AI57" s="50">
        <f t="shared" si="47"/>
        <v>0</v>
      </c>
      <c r="AJ57" s="50" t="s">
        <v>250</v>
      </c>
      <c r="AK57" s="57" t="s">
        <v>250</v>
      </c>
      <c r="AM57" s="50"/>
      <c r="AN57" s="59" t="s">
        <v>131</v>
      </c>
      <c r="AO57" s="1">
        <v>4</v>
      </c>
      <c r="AP57" s="56">
        <v>45476</v>
      </c>
      <c r="AQ57" s="50">
        <v>0</v>
      </c>
      <c r="AR57" s="50">
        <v>0</v>
      </c>
      <c r="AS57" s="50">
        <f t="shared" ref="AS57:AS58" si="48">SUM(AQ57+AR57)</f>
        <v>0</v>
      </c>
      <c r="AT57" s="50" t="s">
        <v>250</v>
      </c>
      <c r="AU57" s="57" t="s">
        <v>250</v>
      </c>
      <c r="AW57" s="50"/>
      <c r="AX57" s="59" t="s">
        <v>131</v>
      </c>
      <c r="AY57" s="1">
        <v>5</v>
      </c>
      <c r="AZ57" s="56">
        <v>45483</v>
      </c>
      <c r="BA57" s="50">
        <v>0</v>
      </c>
      <c r="BB57" s="50">
        <v>0</v>
      </c>
      <c r="BC57" s="50">
        <f t="shared" si="43"/>
        <v>0</v>
      </c>
      <c r="BD57" s="50" t="s">
        <v>250</v>
      </c>
      <c r="BE57" s="57" t="s">
        <v>250</v>
      </c>
      <c r="BG57" s="50"/>
      <c r="BH57" s="59" t="s">
        <v>131</v>
      </c>
      <c r="BI57" s="1">
        <v>6</v>
      </c>
      <c r="BJ57" s="56">
        <v>45490</v>
      </c>
      <c r="BK57" s="50">
        <v>0</v>
      </c>
      <c r="BL57" s="50">
        <v>0</v>
      </c>
      <c r="BM57" s="50">
        <f t="shared" si="44"/>
        <v>0</v>
      </c>
      <c r="BN57" s="50" t="s">
        <v>250</v>
      </c>
      <c r="BO57" s="57" t="s">
        <v>250</v>
      </c>
      <c r="BQ57" s="50"/>
      <c r="BR57" s="59" t="s">
        <v>131</v>
      </c>
      <c r="BS57" s="1">
        <v>7</v>
      </c>
      <c r="BT57" s="56">
        <v>45497</v>
      </c>
      <c r="BU57" s="50">
        <v>0</v>
      </c>
      <c r="BV57" s="50">
        <v>7</v>
      </c>
      <c r="BW57" s="50">
        <f t="shared" si="45"/>
        <v>7</v>
      </c>
      <c r="BX57" s="50" t="s">
        <v>252</v>
      </c>
      <c r="BY57" s="50" t="s">
        <v>250</v>
      </c>
      <c r="CC57" s="77" t="s">
        <v>131</v>
      </c>
      <c r="CD57" s="78">
        <f t="shared" si="34"/>
        <v>9</v>
      </c>
    </row>
    <row r="58" spans="1:82" ht="14.4" x14ac:dyDescent="0.3">
      <c r="A58" s="50" t="s">
        <v>132</v>
      </c>
      <c r="B58" s="50" t="s">
        <v>84</v>
      </c>
      <c r="C58" s="68">
        <v>32.358510000000003</v>
      </c>
      <c r="D58" s="68">
        <v>-83.468829999999997</v>
      </c>
      <c r="E58" s="70">
        <v>45433</v>
      </c>
      <c r="F58" s="70">
        <v>45448</v>
      </c>
      <c r="G58" s="67">
        <v>45497</v>
      </c>
      <c r="H58" s="1" t="s">
        <v>25</v>
      </c>
      <c r="I58" s="1" t="s">
        <v>26</v>
      </c>
      <c r="J58" s="59" t="s">
        <v>132</v>
      </c>
      <c r="K58" s="6">
        <v>1</v>
      </c>
      <c r="L58" s="56">
        <f t="shared" si="46"/>
        <v>45455</v>
      </c>
      <c r="M58" s="50">
        <v>0</v>
      </c>
      <c r="N58" s="50">
        <v>0</v>
      </c>
      <c r="O58" s="50">
        <f t="shared" si="3"/>
        <v>0</v>
      </c>
      <c r="P58" s="50" t="s">
        <v>250</v>
      </c>
      <c r="Q58" s="57" t="s">
        <v>250</v>
      </c>
      <c r="T58" s="59" t="s">
        <v>132</v>
      </c>
      <c r="U58" s="6">
        <v>2</v>
      </c>
      <c r="V58" s="56">
        <v>45462</v>
      </c>
      <c r="W58" s="50">
        <v>0</v>
      </c>
      <c r="X58" s="50">
        <v>0</v>
      </c>
      <c r="Y58" s="50">
        <f t="shared" si="41"/>
        <v>0</v>
      </c>
      <c r="Z58" s="50" t="s">
        <v>250</v>
      </c>
      <c r="AA58" s="57" t="s">
        <v>250</v>
      </c>
      <c r="AC58" s="50"/>
      <c r="AD58" s="59" t="s">
        <v>132</v>
      </c>
      <c r="AE58" s="1">
        <v>3</v>
      </c>
      <c r="AF58" s="56">
        <v>45469</v>
      </c>
      <c r="AG58" s="50">
        <v>0</v>
      </c>
      <c r="AH58" s="50">
        <v>0</v>
      </c>
      <c r="AI58" s="50">
        <f t="shared" si="47"/>
        <v>0</v>
      </c>
      <c r="AJ58" s="50" t="s">
        <v>250</v>
      </c>
      <c r="AK58" s="57" t="s">
        <v>250</v>
      </c>
      <c r="AM58" s="50"/>
      <c r="AN58" s="59" t="s">
        <v>132</v>
      </c>
      <c r="AO58" s="1">
        <v>4</v>
      </c>
      <c r="AP58" s="56">
        <v>45476</v>
      </c>
      <c r="AQ58" s="50">
        <v>0</v>
      </c>
      <c r="AR58" s="50">
        <v>0</v>
      </c>
      <c r="AS58" s="50">
        <f t="shared" si="48"/>
        <v>0</v>
      </c>
      <c r="AT58" s="50" t="s">
        <v>250</v>
      </c>
      <c r="AU58" s="57" t="s">
        <v>250</v>
      </c>
      <c r="AW58" s="50"/>
      <c r="AX58" s="59" t="s">
        <v>132</v>
      </c>
      <c r="AY58" s="1">
        <v>5</v>
      </c>
      <c r="AZ58" s="56">
        <v>45483</v>
      </c>
      <c r="BA58" s="50">
        <v>0</v>
      </c>
      <c r="BB58" s="50">
        <v>0</v>
      </c>
      <c r="BC58" s="50">
        <f t="shared" si="43"/>
        <v>0</v>
      </c>
      <c r="BD58" s="50" t="s">
        <v>250</v>
      </c>
      <c r="BE58" s="57" t="s">
        <v>250</v>
      </c>
      <c r="BG58" s="50"/>
      <c r="BH58" s="59" t="s">
        <v>132</v>
      </c>
      <c r="BI58" s="1">
        <v>6</v>
      </c>
      <c r="BJ58" s="56">
        <v>45490</v>
      </c>
      <c r="BK58" s="50">
        <v>0</v>
      </c>
      <c r="BL58" s="50">
        <v>0</v>
      </c>
      <c r="BM58" s="50">
        <f t="shared" si="44"/>
        <v>0</v>
      </c>
      <c r="BN58" s="50" t="s">
        <v>250</v>
      </c>
      <c r="BO58" s="57" t="s">
        <v>250</v>
      </c>
      <c r="BQ58" s="50"/>
      <c r="BR58" s="59" t="s">
        <v>132</v>
      </c>
      <c r="BS58" s="1">
        <v>7</v>
      </c>
      <c r="BT58" s="56">
        <v>45497</v>
      </c>
      <c r="BU58" s="50">
        <v>0</v>
      </c>
      <c r="BV58" s="50">
        <v>0</v>
      </c>
      <c r="BW58" s="50">
        <f t="shared" ref="BW58:BW64" si="49">SUM(BU58+BV58)</f>
        <v>0</v>
      </c>
      <c r="BX58" s="50" t="s">
        <v>250</v>
      </c>
      <c r="BY58" s="50" t="s">
        <v>250</v>
      </c>
      <c r="CC58" s="77" t="s">
        <v>132</v>
      </c>
      <c r="CD58" s="78">
        <f t="shared" si="34"/>
        <v>0</v>
      </c>
    </row>
    <row r="59" spans="1:82" ht="14.4" x14ac:dyDescent="0.3">
      <c r="A59" s="50" t="s">
        <v>133</v>
      </c>
      <c r="B59" s="50" t="s">
        <v>84</v>
      </c>
      <c r="C59" s="68">
        <v>32.365029999999997</v>
      </c>
      <c r="D59" s="68">
        <v>-83.497370000000004</v>
      </c>
      <c r="E59" s="70">
        <v>45433</v>
      </c>
      <c r="F59" s="70">
        <v>45448</v>
      </c>
      <c r="G59" s="67">
        <v>45497</v>
      </c>
      <c r="H59" s="1" t="s">
        <v>25</v>
      </c>
      <c r="I59" s="1" t="s">
        <v>26</v>
      </c>
      <c r="J59" s="59" t="s">
        <v>133</v>
      </c>
      <c r="K59" s="6">
        <v>1</v>
      </c>
      <c r="L59" s="56">
        <f t="shared" si="46"/>
        <v>45455</v>
      </c>
      <c r="M59" s="50">
        <v>0</v>
      </c>
      <c r="N59" s="50">
        <v>0</v>
      </c>
      <c r="O59" s="50">
        <v>1</v>
      </c>
      <c r="P59" s="50" t="s">
        <v>250</v>
      </c>
      <c r="Q59" s="57" t="s">
        <v>250</v>
      </c>
      <c r="R59" s="57" t="s">
        <v>267</v>
      </c>
      <c r="T59" s="59" t="s">
        <v>133</v>
      </c>
      <c r="U59" s="6">
        <v>2</v>
      </c>
      <c r="V59" s="56">
        <v>45462</v>
      </c>
      <c r="W59" s="50">
        <v>0</v>
      </c>
      <c r="X59" s="50">
        <v>0</v>
      </c>
      <c r="Y59" s="50">
        <f t="shared" si="41"/>
        <v>0</v>
      </c>
      <c r="Z59" s="50" t="s">
        <v>250</v>
      </c>
      <c r="AA59" s="57" t="s">
        <v>250</v>
      </c>
      <c r="AC59" s="50"/>
      <c r="AD59" s="59" t="s">
        <v>133</v>
      </c>
      <c r="AE59" s="1">
        <v>3</v>
      </c>
      <c r="AF59" s="56">
        <v>45469</v>
      </c>
      <c r="AG59" s="50">
        <v>0</v>
      </c>
      <c r="AH59" s="50">
        <v>0</v>
      </c>
      <c r="AI59" s="50">
        <f t="shared" si="47"/>
        <v>0</v>
      </c>
      <c r="AJ59" s="50" t="s">
        <v>250</v>
      </c>
      <c r="AK59" s="57" t="s">
        <v>250</v>
      </c>
      <c r="AM59" s="50"/>
      <c r="AN59" s="59" t="s">
        <v>133</v>
      </c>
      <c r="AO59" s="1">
        <v>4</v>
      </c>
      <c r="AP59" s="56">
        <v>45476</v>
      </c>
      <c r="AQ59" s="50">
        <v>2</v>
      </c>
      <c r="AR59" s="50">
        <v>1</v>
      </c>
      <c r="AS59" s="50">
        <f t="shared" si="6"/>
        <v>3</v>
      </c>
      <c r="AT59" s="50" t="s">
        <v>250</v>
      </c>
      <c r="AU59" s="57" t="s">
        <v>250</v>
      </c>
      <c r="AW59" s="50"/>
      <c r="AX59" s="59" t="s">
        <v>133</v>
      </c>
      <c r="AY59" s="1">
        <v>5</v>
      </c>
      <c r="AZ59" s="56">
        <v>45483</v>
      </c>
      <c r="BA59" s="50">
        <v>0</v>
      </c>
      <c r="BB59" s="50">
        <v>0</v>
      </c>
      <c r="BC59" s="50">
        <f t="shared" si="43"/>
        <v>0</v>
      </c>
      <c r="BD59" s="50" t="s">
        <v>250</v>
      </c>
      <c r="BE59" s="57" t="s">
        <v>250</v>
      </c>
      <c r="BG59" s="50"/>
      <c r="BH59" s="59" t="s">
        <v>133</v>
      </c>
      <c r="BI59" s="1">
        <v>6</v>
      </c>
      <c r="BJ59" s="56">
        <v>45490</v>
      </c>
      <c r="BK59" s="50">
        <v>0</v>
      </c>
      <c r="BL59" s="50">
        <v>0</v>
      </c>
      <c r="BM59" s="50">
        <f t="shared" si="44"/>
        <v>0</v>
      </c>
      <c r="BN59" s="50" t="s">
        <v>250</v>
      </c>
      <c r="BO59" s="57" t="s">
        <v>250</v>
      </c>
      <c r="BQ59" s="50"/>
      <c r="BR59" s="59" t="s">
        <v>133</v>
      </c>
      <c r="BS59" s="1">
        <v>7</v>
      </c>
      <c r="BT59" s="56">
        <v>45497</v>
      </c>
      <c r="BU59" s="50">
        <v>0</v>
      </c>
      <c r="BV59" s="50">
        <v>0</v>
      </c>
      <c r="BW59" s="50">
        <f t="shared" si="49"/>
        <v>0</v>
      </c>
      <c r="BX59" s="50" t="s">
        <v>250</v>
      </c>
      <c r="BY59" s="50" t="s">
        <v>250</v>
      </c>
      <c r="CC59" s="77" t="s">
        <v>133</v>
      </c>
      <c r="CD59" s="78">
        <f t="shared" si="34"/>
        <v>4</v>
      </c>
    </row>
    <row r="60" spans="1:82" ht="14.4" x14ac:dyDescent="0.3">
      <c r="A60" s="50" t="s">
        <v>135</v>
      </c>
      <c r="B60" s="50" t="s">
        <v>84</v>
      </c>
      <c r="C60" s="68">
        <v>32.369810000000001</v>
      </c>
      <c r="D60" s="68">
        <v>-83.489699999999999</v>
      </c>
      <c r="E60" s="70">
        <v>45433</v>
      </c>
      <c r="F60" s="70">
        <v>45448</v>
      </c>
      <c r="G60" s="67">
        <v>45497</v>
      </c>
      <c r="H60" s="1" t="s">
        <v>25</v>
      </c>
      <c r="I60" s="1" t="s">
        <v>26</v>
      </c>
      <c r="J60" s="59" t="s">
        <v>135</v>
      </c>
      <c r="K60" s="6">
        <v>1</v>
      </c>
      <c r="L60" s="56">
        <f t="shared" si="46"/>
        <v>45455</v>
      </c>
      <c r="M60" s="50">
        <v>0</v>
      </c>
      <c r="N60" s="50">
        <v>0</v>
      </c>
      <c r="O60" s="50">
        <f t="shared" si="3"/>
        <v>0</v>
      </c>
      <c r="P60" s="50" t="s">
        <v>250</v>
      </c>
      <c r="Q60" s="57" t="s">
        <v>250</v>
      </c>
      <c r="T60" s="59" t="s">
        <v>135</v>
      </c>
      <c r="U60" s="6">
        <v>2</v>
      </c>
      <c r="V60" s="56">
        <v>45462</v>
      </c>
      <c r="W60" s="50">
        <v>0</v>
      </c>
      <c r="X60" s="50">
        <v>0</v>
      </c>
      <c r="Y60" s="50">
        <f t="shared" si="41"/>
        <v>0</v>
      </c>
      <c r="Z60" s="50" t="s">
        <v>250</v>
      </c>
      <c r="AA60" s="57" t="s">
        <v>250</v>
      </c>
      <c r="AC60" s="50"/>
      <c r="AD60" s="59" t="s">
        <v>135</v>
      </c>
      <c r="AE60" s="1">
        <v>3</v>
      </c>
      <c r="AF60" s="56">
        <v>45469</v>
      </c>
      <c r="AG60" s="50">
        <v>0</v>
      </c>
      <c r="AH60" s="50">
        <v>2</v>
      </c>
      <c r="AI60" s="50">
        <f t="shared" si="5"/>
        <v>2</v>
      </c>
      <c r="AJ60" s="50" t="s">
        <v>261</v>
      </c>
      <c r="AK60" s="57" t="s">
        <v>250</v>
      </c>
      <c r="AM60" s="50"/>
      <c r="AN60" s="59" t="s">
        <v>135</v>
      </c>
      <c r="AO60" s="1">
        <v>4</v>
      </c>
      <c r="AP60" s="56">
        <v>45476</v>
      </c>
      <c r="AQ60" s="50">
        <v>0</v>
      </c>
      <c r="AR60" s="50">
        <v>0</v>
      </c>
      <c r="AS60" s="50">
        <f t="shared" si="6"/>
        <v>0</v>
      </c>
      <c r="AT60" s="50" t="s">
        <v>250</v>
      </c>
      <c r="AU60" s="57" t="s">
        <v>250</v>
      </c>
      <c r="AW60" s="50"/>
      <c r="AX60" s="59" t="s">
        <v>135</v>
      </c>
      <c r="AY60" s="1">
        <v>5</v>
      </c>
      <c r="AZ60" s="56">
        <v>45483</v>
      </c>
      <c r="BA60" s="50">
        <v>0</v>
      </c>
      <c r="BB60" s="50">
        <v>0</v>
      </c>
      <c r="BC60" s="50">
        <f t="shared" si="43"/>
        <v>0</v>
      </c>
      <c r="BD60" s="50" t="s">
        <v>250</v>
      </c>
      <c r="BE60" s="57" t="s">
        <v>250</v>
      </c>
      <c r="BG60" s="50"/>
      <c r="BH60" s="59" t="s">
        <v>135</v>
      </c>
      <c r="BI60" s="1">
        <v>6</v>
      </c>
      <c r="BJ60" s="56">
        <v>45490</v>
      </c>
      <c r="BK60" s="50">
        <v>0</v>
      </c>
      <c r="BL60" s="50">
        <v>0</v>
      </c>
      <c r="BM60" s="50">
        <f t="shared" si="44"/>
        <v>0</v>
      </c>
      <c r="BN60" s="50" t="s">
        <v>250</v>
      </c>
      <c r="BO60" s="57" t="s">
        <v>250</v>
      </c>
      <c r="BQ60" s="50"/>
      <c r="BR60" s="59" t="s">
        <v>135</v>
      </c>
      <c r="BS60" s="1">
        <v>7</v>
      </c>
      <c r="BT60" s="56">
        <v>45497</v>
      </c>
      <c r="BU60" s="50">
        <v>0</v>
      </c>
      <c r="BV60" s="50">
        <v>0</v>
      </c>
      <c r="BW60" s="50">
        <f t="shared" si="49"/>
        <v>0</v>
      </c>
      <c r="BX60" s="50" t="s">
        <v>250</v>
      </c>
      <c r="BY60" s="50" t="s">
        <v>250</v>
      </c>
      <c r="CC60" s="77" t="s">
        <v>135</v>
      </c>
      <c r="CD60" s="78">
        <f t="shared" si="34"/>
        <v>2</v>
      </c>
    </row>
    <row r="61" spans="1:82" ht="14.4" x14ac:dyDescent="0.3">
      <c r="A61" s="50" t="s">
        <v>136</v>
      </c>
      <c r="B61" s="50" t="s">
        <v>84</v>
      </c>
      <c r="C61" s="68">
        <v>32.372610000000002</v>
      </c>
      <c r="D61" s="68">
        <v>-83.468159999999997</v>
      </c>
      <c r="E61" s="70">
        <v>45433</v>
      </c>
      <c r="F61" s="70">
        <v>45448</v>
      </c>
      <c r="G61" s="67">
        <v>45497</v>
      </c>
      <c r="H61" s="1" t="s">
        <v>25</v>
      </c>
      <c r="I61" s="1" t="s">
        <v>26</v>
      </c>
      <c r="J61" s="59" t="s">
        <v>136</v>
      </c>
      <c r="K61" s="6">
        <v>1</v>
      </c>
      <c r="L61" s="56">
        <f t="shared" si="46"/>
        <v>45455</v>
      </c>
      <c r="M61" s="50">
        <v>0</v>
      </c>
      <c r="N61" s="50">
        <v>5</v>
      </c>
      <c r="O61" s="50">
        <f t="shared" si="3"/>
        <v>5</v>
      </c>
      <c r="P61" s="50" t="s">
        <v>250</v>
      </c>
      <c r="Q61" s="57" t="s">
        <v>250</v>
      </c>
      <c r="R61" s="57" t="s">
        <v>265</v>
      </c>
      <c r="T61" s="59" t="s">
        <v>136</v>
      </c>
      <c r="U61" s="6">
        <v>2</v>
      </c>
      <c r="V61" s="56">
        <v>45462</v>
      </c>
      <c r="W61" s="50">
        <v>0</v>
      </c>
      <c r="X61" s="50">
        <v>2</v>
      </c>
      <c r="Y61" s="50">
        <f t="shared" si="41"/>
        <v>2</v>
      </c>
      <c r="Z61" s="50" t="s">
        <v>250</v>
      </c>
      <c r="AA61" s="57" t="s">
        <v>250</v>
      </c>
      <c r="AB61" s="50" t="s">
        <v>288</v>
      </c>
      <c r="AC61" s="50"/>
      <c r="AD61" s="59" t="s">
        <v>136</v>
      </c>
      <c r="AE61" s="1">
        <v>3</v>
      </c>
      <c r="AF61" s="56">
        <v>45469</v>
      </c>
      <c r="AG61" s="50">
        <v>0</v>
      </c>
      <c r="AH61" s="50">
        <v>0</v>
      </c>
      <c r="AI61" s="50">
        <f t="shared" si="5"/>
        <v>0</v>
      </c>
      <c r="AJ61" s="50" t="s">
        <v>250</v>
      </c>
      <c r="AK61" s="57" t="s">
        <v>250</v>
      </c>
      <c r="AM61" s="50"/>
      <c r="AN61" s="59" t="s">
        <v>136</v>
      </c>
      <c r="AO61" s="1">
        <v>4</v>
      </c>
      <c r="AP61" s="56">
        <v>45476</v>
      </c>
      <c r="AQ61" s="50">
        <v>0</v>
      </c>
      <c r="AR61" s="50">
        <v>0</v>
      </c>
      <c r="AS61" s="50">
        <f t="shared" si="6"/>
        <v>0</v>
      </c>
      <c r="AT61" s="50" t="s">
        <v>250</v>
      </c>
      <c r="AU61" s="57" t="s">
        <v>250</v>
      </c>
      <c r="AW61" s="50"/>
      <c r="AX61" s="59" t="s">
        <v>136</v>
      </c>
      <c r="AY61" s="1">
        <v>5</v>
      </c>
      <c r="AZ61" s="56">
        <v>45483</v>
      </c>
      <c r="BA61" s="50">
        <v>0</v>
      </c>
      <c r="BB61" s="50">
        <v>0</v>
      </c>
      <c r="BC61" s="50">
        <f t="shared" si="43"/>
        <v>0</v>
      </c>
      <c r="BD61" s="50" t="s">
        <v>250</v>
      </c>
      <c r="BE61" s="57" t="s">
        <v>250</v>
      </c>
      <c r="BG61" s="50"/>
      <c r="BH61" s="59" t="s">
        <v>136</v>
      </c>
      <c r="BI61" s="1">
        <v>6</v>
      </c>
      <c r="BJ61" s="56">
        <v>45490</v>
      </c>
      <c r="BK61" s="50">
        <v>1</v>
      </c>
      <c r="BL61" s="50">
        <v>1</v>
      </c>
      <c r="BM61" s="50">
        <f t="shared" si="44"/>
        <v>2</v>
      </c>
      <c r="BN61" s="50" t="s">
        <v>252</v>
      </c>
      <c r="BO61" s="57" t="s">
        <v>250</v>
      </c>
      <c r="BQ61" s="50"/>
      <c r="BR61" s="59" t="s">
        <v>136</v>
      </c>
      <c r="BS61" s="1">
        <v>7</v>
      </c>
      <c r="BT61" s="56">
        <v>45497</v>
      </c>
      <c r="BU61" s="50">
        <v>0</v>
      </c>
      <c r="BV61" s="50">
        <v>0</v>
      </c>
      <c r="BW61" s="50">
        <f t="shared" si="49"/>
        <v>0</v>
      </c>
      <c r="BX61" s="50" t="s">
        <v>250</v>
      </c>
      <c r="BY61" s="50" t="s">
        <v>250</v>
      </c>
      <c r="CC61" s="77" t="s">
        <v>136</v>
      </c>
      <c r="CD61" s="78">
        <f t="shared" si="34"/>
        <v>9</v>
      </c>
    </row>
    <row r="62" spans="1:82" ht="14.4" x14ac:dyDescent="0.3">
      <c r="A62" s="50" t="s">
        <v>137</v>
      </c>
      <c r="B62" s="50" t="s">
        <v>84</v>
      </c>
      <c r="C62" s="68">
        <v>32.380989999999997</v>
      </c>
      <c r="D62" s="68">
        <v>-83.495919999999998</v>
      </c>
      <c r="E62" s="70">
        <v>45433</v>
      </c>
      <c r="F62" s="70">
        <v>45448</v>
      </c>
      <c r="G62" s="67">
        <v>45497</v>
      </c>
      <c r="H62" s="1" t="s">
        <v>25</v>
      </c>
      <c r="I62" s="1" t="s">
        <v>26</v>
      </c>
      <c r="J62" s="59" t="s">
        <v>137</v>
      </c>
      <c r="K62" s="6">
        <v>1</v>
      </c>
      <c r="L62" s="56">
        <f t="shared" si="46"/>
        <v>45455</v>
      </c>
      <c r="M62" s="50">
        <v>1</v>
      </c>
      <c r="N62" s="50">
        <v>0</v>
      </c>
      <c r="O62" s="50">
        <f t="shared" si="3"/>
        <v>1</v>
      </c>
      <c r="P62" s="50" t="s">
        <v>250</v>
      </c>
      <c r="Q62" s="57" t="s">
        <v>250</v>
      </c>
      <c r="R62" s="57" t="s">
        <v>266</v>
      </c>
      <c r="T62" s="59" t="s">
        <v>137</v>
      </c>
      <c r="U62" s="6">
        <v>2</v>
      </c>
      <c r="V62" s="56">
        <v>45462</v>
      </c>
      <c r="W62" s="50">
        <v>0</v>
      </c>
      <c r="X62" s="50">
        <v>0</v>
      </c>
      <c r="Y62" s="50">
        <f t="shared" si="41"/>
        <v>0</v>
      </c>
      <c r="Z62" s="50" t="s">
        <v>250</v>
      </c>
      <c r="AA62" s="57" t="s">
        <v>250</v>
      </c>
      <c r="AC62" s="50"/>
      <c r="AD62" s="59" t="s">
        <v>137</v>
      </c>
      <c r="AE62" s="1">
        <v>3</v>
      </c>
      <c r="AF62" s="56">
        <v>45469</v>
      </c>
      <c r="AG62" s="50">
        <v>7</v>
      </c>
      <c r="AH62" s="50">
        <v>7</v>
      </c>
      <c r="AI62" s="50">
        <f t="shared" si="5"/>
        <v>14</v>
      </c>
      <c r="AJ62" s="50" t="s">
        <v>252</v>
      </c>
      <c r="AK62" s="57" t="s">
        <v>250</v>
      </c>
      <c r="AM62" s="50"/>
      <c r="AN62" s="59" t="s">
        <v>137</v>
      </c>
      <c r="AO62" s="1">
        <v>4</v>
      </c>
      <c r="AP62" s="56">
        <v>45476</v>
      </c>
      <c r="AQ62" s="50">
        <v>1</v>
      </c>
      <c r="AR62" s="50">
        <v>0</v>
      </c>
      <c r="AS62" s="50">
        <f t="shared" si="6"/>
        <v>1</v>
      </c>
      <c r="AT62" s="50" t="s">
        <v>252</v>
      </c>
      <c r="AU62" s="57" t="s">
        <v>250</v>
      </c>
      <c r="AW62" s="50"/>
      <c r="AX62" s="59" t="s">
        <v>137</v>
      </c>
      <c r="AY62" s="1">
        <v>5</v>
      </c>
      <c r="AZ62" s="56">
        <v>45483</v>
      </c>
      <c r="BA62" s="50">
        <v>0</v>
      </c>
      <c r="BB62" s="50">
        <v>0</v>
      </c>
      <c r="BC62" s="50">
        <f t="shared" si="43"/>
        <v>0</v>
      </c>
      <c r="BD62" s="50" t="s">
        <v>250</v>
      </c>
      <c r="BE62" s="57" t="s">
        <v>250</v>
      </c>
      <c r="BG62" s="50"/>
      <c r="BH62" s="59" t="s">
        <v>137</v>
      </c>
      <c r="BI62" s="1">
        <v>6</v>
      </c>
      <c r="BJ62" s="56">
        <v>45490</v>
      </c>
      <c r="BK62" s="50">
        <v>2</v>
      </c>
      <c r="BL62" s="50">
        <v>2</v>
      </c>
      <c r="BM62" s="50">
        <f t="shared" si="13"/>
        <v>4</v>
      </c>
      <c r="BN62" s="50" t="s">
        <v>252</v>
      </c>
      <c r="BO62" s="57" t="s">
        <v>250</v>
      </c>
      <c r="BQ62" s="50"/>
      <c r="BR62" s="59" t="s">
        <v>137</v>
      </c>
      <c r="BS62" s="1">
        <v>7</v>
      </c>
      <c r="BT62" s="56">
        <v>45497</v>
      </c>
      <c r="BU62" s="50">
        <v>0</v>
      </c>
      <c r="BV62" s="50">
        <v>0</v>
      </c>
      <c r="BW62" s="50">
        <f t="shared" si="49"/>
        <v>0</v>
      </c>
      <c r="BX62" s="50" t="s">
        <v>250</v>
      </c>
      <c r="BY62" s="50" t="s">
        <v>250</v>
      </c>
      <c r="CC62" s="77" t="s">
        <v>137</v>
      </c>
      <c r="CD62" s="78">
        <f t="shared" si="34"/>
        <v>20</v>
      </c>
    </row>
    <row r="63" spans="1:82" ht="14.4" x14ac:dyDescent="0.3">
      <c r="A63" s="50" t="s">
        <v>138</v>
      </c>
      <c r="B63" s="50" t="s">
        <v>84</v>
      </c>
      <c r="C63" s="68">
        <v>32.387439999999998</v>
      </c>
      <c r="D63" s="68">
        <v>-83.485420000000005</v>
      </c>
      <c r="E63" s="70">
        <v>45434</v>
      </c>
      <c r="F63" s="70">
        <v>45448</v>
      </c>
      <c r="G63" s="67">
        <v>45497</v>
      </c>
      <c r="H63" s="1" t="s">
        <v>25</v>
      </c>
      <c r="I63" s="1" t="s">
        <v>26</v>
      </c>
      <c r="J63" s="59" t="s">
        <v>138</v>
      </c>
      <c r="K63" s="6">
        <v>1</v>
      </c>
      <c r="L63" s="56">
        <f t="shared" si="46"/>
        <v>45455</v>
      </c>
      <c r="M63" s="50">
        <v>0</v>
      </c>
      <c r="N63" s="50">
        <v>1</v>
      </c>
      <c r="O63" s="50">
        <f t="shared" si="3"/>
        <v>1</v>
      </c>
      <c r="P63" s="50" t="s">
        <v>252</v>
      </c>
      <c r="Q63" s="57" t="s">
        <v>250</v>
      </c>
      <c r="T63" s="59" t="s">
        <v>138</v>
      </c>
      <c r="U63" s="6">
        <v>2</v>
      </c>
      <c r="V63" s="56">
        <v>45462</v>
      </c>
      <c r="W63" s="50">
        <v>0</v>
      </c>
      <c r="X63" s="50">
        <v>0</v>
      </c>
      <c r="Y63" s="50">
        <f t="shared" si="41"/>
        <v>0</v>
      </c>
      <c r="Z63" s="50" t="s">
        <v>250</v>
      </c>
      <c r="AA63" s="57" t="s">
        <v>250</v>
      </c>
      <c r="AC63" s="50"/>
      <c r="AD63" s="59" t="s">
        <v>138</v>
      </c>
      <c r="AE63" s="1">
        <v>3</v>
      </c>
      <c r="AF63" s="56">
        <v>45469</v>
      </c>
      <c r="AG63" s="50">
        <v>0</v>
      </c>
      <c r="AH63" s="50">
        <v>0</v>
      </c>
      <c r="AI63" s="50">
        <f t="shared" si="5"/>
        <v>0</v>
      </c>
      <c r="AJ63" s="50" t="s">
        <v>250</v>
      </c>
      <c r="AK63" s="57" t="s">
        <v>250</v>
      </c>
      <c r="AM63" s="50"/>
      <c r="AN63" s="59" t="s">
        <v>138</v>
      </c>
      <c r="AO63" s="1">
        <v>4</v>
      </c>
      <c r="AP63" s="56">
        <v>45476</v>
      </c>
      <c r="AQ63" s="50">
        <v>0</v>
      </c>
      <c r="AR63" s="50">
        <v>0</v>
      </c>
      <c r="AS63" s="50">
        <f t="shared" ref="AS63:AS65" si="50">SUM(AQ63+AR63)</f>
        <v>0</v>
      </c>
      <c r="AT63" s="50" t="s">
        <v>250</v>
      </c>
      <c r="AU63" s="57" t="s">
        <v>250</v>
      </c>
      <c r="AW63" s="50"/>
      <c r="AX63" s="59" t="s">
        <v>138</v>
      </c>
      <c r="AY63" s="1">
        <v>5</v>
      </c>
      <c r="AZ63" s="56">
        <v>45483</v>
      </c>
      <c r="BA63" s="50">
        <v>0</v>
      </c>
      <c r="BB63" s="50">
        <v>0</v>
      </c>
      <c r="BC63" s="50">
        <f t="shared" si="43"/>
        <v>0</v>
      </c>
      <c r="BD63" s="50" t="s">
        <v>250</v>
      </c>
      <c r="BE63" s="57" t="s">
        <v>250</v>
      </c>
      <c r="BG63" s="50"/>
      <c r="BH63" s="59" t="s">
        <v>138</v>
      </c>
      <c r="BI63" s="1">
        <v>6</v>
      </c>
      <c r="BJ63" s="56">
        <v>45490</v>
      </c>
      <c r="BK63" s="50">
        <v>0</v>
      </c>
      <c r="BL63" s="50">
        <v>0</v>
      </c>
      <c r="BM63" s="50">
        <f t="shared" si="13"/>
        <v>0</v>
      </c>
      <c r="BN63" s="50" t="s">
        <v>250</v>
      </c>
      <c r="BO63" s="57" t="s">
        <v>250</v>
      </c>
      <c r="BQ63" s="50"/>
      <c r="BR63" s="59" t="s">
        <v>138</v>
      </c>
      <c r="BS63" s="1">
        <v>7</v>
      </c>
      <c r="BT63" s="56">
        <v>45497</v>
      </c>
      <c r="BU63" s="50">
        <v>0</v>
      </c>
      <c r="BV63" s="50">
        <v>0</v>
      </c>
      <c r="BW63" s="50">
        <f t="shared" si="49"/>
        <v>0</v>
      </c>
      <c r="BX63" s="50" t="s">
        <v>250</v>
      </c>
      <c r="BY63" s="50" t="s">
        <v>250</v>
      </c>
      <c r="CC63" s="77" t="s">
        <v>138</v>
      </c>
      <c r="CD63" s="78">
        <f t="shared" si="34"/>
        <v>1</v>
      </c>
    </row>
    <row r="64" spans="1:82" ht="14.4" x14ac:dyDescent="0.3">
      <c r="A64" s="50" t="s">
        <v>139</v>
      </c>
      <c r="B64" s="50" t="s">
        <v>84</v>
      </c>
      <c r="C64" s="68">
        <v>32.402619999999999</v>
      </c>
      <c r="D64" s="68">
        <v>-83.489990000000006</v>
      </c>
      <c r="E64" s="70">
        <v>45434</v>
      </c>
      <c r="F64" s="70">
        <v>45448</v>
      </c>
      <c r="G64" s="67">
        <v>45497</v>
      </c>
      <c r="H64" s="1" t="s">
        <v>25</v>
      </c>
      <c r="I64" s="1" t="s">
        <v>26</v>
      </c>
      <c r="J64" s="59" t="s">
        <v>139</v>
      </c>
      <c r="K64" s="6">
        <v>1</v>
      </c>
      <c r="L64" s="56">
        <f t="shared" si="46"/>
        <v>45455</v>
      </c>
      <c r="M64" s="50">
        <v>0</v>
      </c>
      <c r="N64" s="50">
        <v>0</v>
      </c>
      <c r="O64" s="50">
        <f t="shared" si="3"/>
        <v>0</v>
      </c>
      <c r="P64" s="50" t="s">
        <v>250</v>
      </c>
      <c r="Q64" s="57" t="s">
        <v>250</v>
      </c>
      <c r="T64" s="59" t="s">
        <v>139</v>
      </c>
      <c r="U64" s="6">
        <v>2</v>
      </c>
      <c r="V64" s="56">
        <v>45462</v>
      </c>
      <c r="W64" s="50">
        <v>1</v>
      </c>
      <c r="X64" s="50">
        <v>0</v>
      </c>
      <c r="Y64" s="50">
        <f t="shared" si="41"/>
        <v>1</v>
      </c>
      <c r="Z64" s="50" t="s">
        <v>250</v>
      </c>
      <c r="AA64" s="57" t="s">
        <v>250</v>
      </c>
      <c r="AB64" s="50" t="s">
        <v>253</v>
      </c>
      <c r="AC64" s="50"/>
      <c r="AD64" s="59" t="s">
        <v>139</v>
      </c>
      <c r="AE64" s="1">
        <v>3</v>
      </c>
      <c r="AF64" s="56">
        <v>45469</v>
      </c>
      <c r="AG64" s="50">
        <v>0</v>
      </c>
      <c r="AH64" s="50">
        <v>1</v>
      </c>
      <c r="AI64" s="50">
        <f t="shared" si="5"/>
        <v>1</v>
      </c>
      <c r="AJ64" s="50" t="s">
        <v>252</v>
      </c>
      <c r="AK64" s="57" t="s">
        <v>250</v>
      </c>
      <c r="AM64" s="50"/>
      <c r="AN64" s="59" t="s">
        <v>139</v>
      </c>
      <c r="AO64" s="1">
        <v>4</v>
      </c>
      <c r="AP64" s="56">
        <v>45476</v>
      </c>
      <c r="AQ64" s="50">
        <v>0</v>
      </c>
      <c r="AR64" s="50">
        <v>0</v>
      </c>
      <c r="AS64" s="50">
        <f t="shared" si="50"/>
        <v>0</v>
      </c>
      <c r="AT64" s="50" t="s">
        <v>250</v>
      </c>
      <c r="AU64" s="57" t="s">
        <v>250</v>
      </c>
      <c r="AW64" s="50"/>
      <c r="AX64" s="59" t="s">
        <v>139</v>
      </c>
      <c r="AY64" s="1">
        <v>5</v>
      </c>
      <c r="AZ64" s="56">
        <v>45483</v>
      </c>
      <c r="BA64" s="50">
        <v>0</v>
      </c>
      <c r="BB64" s="50">
        <v>0</v>
      </c>
      <c r="BC64" s="50">
        <f t="shared" si="43"/>
        <v>0</v>
      </c>
      <c r="BD64" s="50" t="s">
        <v>250</v>
      </c>
      <c r="BE64" s="57" t="s">
        <v>250</v>
      </c>
      <c r="BG64" s="50"/>
      <c r="BH64" s="59" t="s">
        <v>139</v>
      </c>
      <c r="BI64" s="1">
        <v>6</v>
      </c>
      <c r="BJ64" s="56">
        <v>45490</v>
      </c>
      <c r="BK64" s="50">
        <v>0</v>
      </c>
      <c r="BL64" s="50">
        <v>0</v>
      </c>
      <c r="BM64" s="50">
        <f t="shared" si="13"/>
        <v>0</v>
      </c>
      <c r="BN64" s="50" t="s">
        <v>250</v>
      </c>
      <c r="BO64" s="57" t="s">
        <v>250</v>
      </c>
      <c r="BQ64" s="50"/>
      <c r="BR64" s="59" t="s">
        <v>139</v>
      </c>
      <c r="BS64" s="1">
        <v>7</v>
      </c>
      <c r="BT64" s="56">
        <v>45497</v>
      </c>
      <c r="BU64" s="50">
        <v>0</v>
      </c>
      <c r="BV64" s="50">
        <v>0</v>
      </c>
      <c r="BW64" s="50">
        <f t="shared" si="49"/>
        <v>0</v>
      </c>
      <c r="BX64" s="50" t="s">
        <v>250</v>
      </c>
      <c r="BY64" s="50" t="s">
        <v>250</v>
      </c>
      <c r="CC64" s="77" t="s">
        <v>139</v>
      </c>
      <c r="CD64" s="78">
        <f t="shared" si="34"/>
        <v>2</v>
      </c>
    </row>
    <row r="65" spans="1:82" ht="14.4" x14ac:dyDescent="0.3">
      <c r="A65" s="50" t="s">
        <v>140</v>
      </c>
      <c r="B65" s="50" t="s">
        <v>84</v>
      </c>
      <c r="C65" s="68">
        <v>32.415489999999998</v>
      </c>
      <c r="D65" s="68">
        <v>-83.479389999999995</v>
      </c>
      <c r="E65" s="70">
        <v>45434</v>
      </c>
      <c r="F65" s="70">
        <v>45448</v>
      </c>
      <c r="G65" s="67">
        <v>45497</v>
      </c>
      <c r="H65" s="1" t="s">
        <v>25</v>
      </c>
      <c r="I65" s="1" t="s">
        <v>26</v>
      </c>
      <c r="J65" s="59" t="s">
        <v>140</v>
      </c>
      <c r="K65" s="6">
        <v>1</v>
      </c>
      <c r="L65" s="56">
        <f t="shared" si="46"/>
        <v>45455</v>
      </c>
      <c r="M65" s="50">
        <v>0</v>
      </c>
      <c r="N65" s="50">
        <v>0</v>
      </c>
      <c r="O65" s="50">
        <f t="shared" si="3"/>
        <v>0</v>
      </c>
      <c r="P65" s="50" t="s">
        <v>250</v>
      </c>
      <c r="Q65" s="57" t="s">
        <v>250</v>
      </c>
      <c r="T65" s="59" t="s">
        <v>140</v>
      </c>
      <c r="U65" s="6">
        <v>2</v>
      </c>
      <c r="V65" s="56">
        <v>45462</v>
      </c>
      <c r="W65" s="50">
        <v>0</v>
      </c>
      <c r="X65" s="50">
        <v>0</v>
      </c>
      <c r="Y65" s="50">
        <f t="shared" si="41"/>
        <v>0</v>
      </c>
      <c r="Z65" s="50" t="s">
        <v>250</v>
      </c>
      <c r="AA65" s="57" t="s">
        <v>250</v>
      </c>
      <c r="AC65" s="50"/>
      <c r="AD65" s="59" t="s">
        <v>140</v>
      </c>
      <c r="AE65" s="1">
        <v>3</v>
      </c>
      <c r="AF65" s="56">
        <v>45469</v>
      </c>
      <c r="AG65" s="50">
        <v>0</v>
      </c>
      <c r="AH65" s="50">
        <v>0</v>
      </c>
      <c r="AI65" s="50">
        <f t="shared" ref="AI65" si="51">SUM(AG65+AH65)</f>
        <v>0</v>
      </c>
      <c r="AJ65" s="50" t="s">
        <v>250</v>
      </c>
      <c r="AK65" s="57" t="s">
        <v>250</v>
      </c>
      <c r="AM65" s="50"/>
      <c r="AN65" s="59" t="s">
        <v>140</v>
      </c>
      <c r="AO65" s="1">
        <v>4</v>
      </c>
      <c r="AP65" s="56">
        <v>45476</v>
      </c>
      <c r="AQ65" s="50">
        <v>0</v>
      </c>
      <c r="AR65" s="50">
        <v>0</v>
      </c>
      <c r="AS65" s="50">
        <f t="shared" si="50"/>
        <v>0</v>
      </c>
      <c r="AT65" s="50" t="s">
        <v>250</v>
      </c>
      <c r="AU65" s="57" t="s">
        <v>250</v>
      </c>
      <c r="AW65" s="50"/>
      <c r="AX65" s="59" t="s">
        <v>140</v>
      </c>
      <c r="AY65" s="1">
        <v>5</v>
      </c>
      <c r="AZ65" s="56">
        <v>45483</v>
      </c>
      <c r="BA65" s="50">
        <v>0</v>
      </c>
      <c r="BB65" s="50">
        <v>0</v>
      </c>
      <c r="BC65" s="50">
        <f t="shared" si="43"/>
        <v>0</v>
      </c>
      <c r="BD65" s="50" t="s">
        <v>250</v>
      </c>
      <c r="BE65" s="57" t="s">
        <v>250</v>
      </c>
      <c r="BG65" s="50"/>
      <c r="BH65" s="59" t="s">
        <v>140</v>
      </c>
      <c r="BI65" s="1">
        <v>6</v>
      </c>
      <c r="BJ65" s="56">
        <v>45490</v>
      </c>
      <c r="BK65" s="50">
        <v>0</v>
      </c>
      <c r="BL65" s="50">
        <v>0</v>
      </c>
      <c r="BM65" s="50">
        <f t="shared" si="13"/>
        <v>0</v>
      </c>
      <c r="BN65" s="50" t="s">
        <v>250</v>
      </c>
      <c r="BO65" s="57" t="s">
        <v>250</v>
      </c>
      <c r="BQ65" s="50"/>
      <c r="BR65" s="59" t="s">
        <v>140</v>
      </c>
      <c r="BS65" s="1">
        <v>7</v>
      </c>
      <c r="BT65" s="56">
        <v>45497</v>
      </c>
      <c r="BU65" s="50">
        <v>0</v>
      </c>
      <c r="BV65" s="50">
        <v>0</v>
      </c>
      <c r="BW65" s="50">
        <f>SUM(BU65+BV65)</f>
        <v>0</v>
      </c>
      <c r="BX65" s="50" t="s">
        <v>250</v>
      </c>
      <c r="BY65" s="50" t="s">
        <v>250</v>
      </c>
      <c r="CC65" s="77" t="s">
        <v>140</v>
      </c>
      <c r="CD65" s="78">
        <f>SUM(O65+Y65+AI65+AS65+BC65+BM65+BW65)</f>
        <v>0</v>
      </c>
    </row>
    <row r="66" spans="1:82" ht="14.4" x14ac:dyDescent="0.3">
      <c r="A66" s="50" t="s">
        <v>141</v>
      </c>
      <c r="B66" s="50" t="s">
        <v>84</v>
      </c>
      <c r="C66" s="68">
        <v>32.420749999999998</v>
      </c>
      <c r="D66" s="68">
        <v>-83.454669999999993</v>
      </c>
      <c r="E66" s="70">
        <v>45434</v>
      </c>
      <c r="F66" s="70">
        <v>45448</v>
      </c>
      <c r="G66" s="67">
        <v>45502</v>
      </c>
      <c r="H66" s="1" t="s">
        <v>25</v>
      </c>
      <c r="I66" s="1" t="s">
        <v>26</v>
      </c>
      <c r="J66" s="59" t="s">
        <v>141</v>
      </c>
      <c r="K66" s="6">
        <v>1</v>
      </c>
      <c r="L66" s="56">
        <f t="shared" si="46"/>
        <v>45455</v>
      </c>
      <c r="M66" s="50">
        <v>6</v>
      </c>
      <c r="N66" s="50">
        <v>5</v>
      </c>
      <c r="O66" s="50">
        <f t="shared" si="3"/>
        <v>11</v>
      </c>
      <c r="P66" s="50" t="s">
        <v>252</v>
      </c>
      <c r="Q66" s="57" t="s">
        <v>250</v>
      </c>
      <c r="T66" s="59" t="s">
        <v>141</v>
      </c>
      <c r="U66" s="6">
        <v>2</v>
      </c>
      <c r="V66" s="56">
        <v>45462</v>
      </c>
      <c r="W66" s="50">
        <v>11</v>
      </c>
      <c r="X66" s="50">
        <v>8</v>
      </c>
      <c r="Y66" s="50">
        <f t="shared" si="4"/>
        <v>19</v>
      </c>
      <c r="Z66" s="50" t="s">
        <v>252</v>
      </c>
      <c r="AA66" s="57" t="s">
        <v>250</v>
      </c>
      <c r="AB66" s="50" t="s">
        <v>289</v>
      </c>
      <c r="AC66" s="50"/>
      <c r="AD66" s="59" t="s">
        <v>141</v>
      </c>
      <c r="AE66" s="1">
        <v>3</v>
      </c>
      <c r="AF66" s="56">
        <v>45469</v>
      </c>
      <c r="AG66" s="50">
        <v>0</v>
      </c>
      <c r="AH66" s="50">
        <v>2</v>
      </c>
      <c r="AI66" s="50">
        <f t="shared" si="5"/>
        <v>2</v>
      </c>
      <c r="AJ66" s="50" t="s">
        <v>261</v>
      </c>
      <c r="AK66" s="57" t="s">
        <v>250</v>
      </c>
      <c r="AL66" s="50" t="s">
        <v>278</v>
      </c>
      <c r="AM66" s="50"/>
      <c r="AN66" s="59" t="s">
        <v>141</v>
      </c>
      <c r="AO66" s="1">
        <v>4</v>
      </c>
      <c r="AP66" s="56">
        <v>45476</v>
      </c>
      <c r="AQ66" s="50">
        <v>1</v>
      </c>
      <c r="AR66" s="50">
        <v>2</v>
      </c>
      <c r="AS66" s="50">
        <f t="shared" si="6"/>
        <v>3</v>
      </c>
      <c r="AT66" s="50" t="s">
        <v>252</v>
      </c>
      <c r="AU66" s="57" t="s">
        <v>250</v>
      </c>
      <c r="AW66" s="50"/>
      <c r="AX66" s="59" t="s">
        <v>141</v>
      </c>
      <c r="AY66" s="1">
        <v>5</v>
      </c>
      <c r="AZ66" s="56">
        <v>45483</v>
      </c>
      <c r="BA66" s="50">
        <v>0</v>
      </c>
      <c r="BB66" s="50">
        <v>2</v>
      </c>
      <c r="BC66" s="50">
        <f t="shared" si="12"/>
        <v>2</v>
      </c>
      <c r="BD66" s="50" t="s">
        <v>261</v>
      </c>
      <c r="BE66" s="57" t="s">
        <v>250</v>
      </c>
      <c r="BG66" s="50"/>
      <c r="BH66" s="59" t="s">
        <v>141</v>
      </c>
      <c r="BI66" s="1">
        <v>6</v>
      </c>
      <c r="BJ66" s="56">
        <v>45490</v>
      </c>
      <c r="BK66" s="50">
        <v>0</v>
      </c>
      <c r="BL66" s="50">
        <v>0</v>
      </c>
      <c r="BM66" s="50">
        <f t="shared" si="13"/>
        <v>0</v>
      </c>
      <c r="BN66" s="50" t="s">
        <v>250</v>
      </c>
      <c r="BO66" s="57" t="s">
        <v>250</v>
      </c>
      <c r="BQ66" s="50"/>
      <c r="BR66" s="59" t="s">
        <v>141</v>
      </c>
      <c r="BS66" s="1">
        <v>7</v>
      </c>
      <c r="BT66" s="56">
        <v>45497</v>
      </c>
      <c r="BU66" s="50">
        <v>9</v>
      </c>
      <c r="BV66" s="50">
        <v>10</v>
      </c>
      <c r="BW66" s="50">
        <f>SUM(BU66+BV66)</f>
        <v>19</v>
      </c>
      <c r="BX66" s="50" t="s">
        <v>252</v>
      </c>
      <c r="BY66" s="50" t="s">
        <v>250</v>
      </c>
      <c r="BZ66" s="50" t="s">
        <v>299</v>
      </c>
      <c r="CC66" s="77" t="s">
        <v>141</v>
      </c>
      <c r="CD66" s="78">
        <f>SUM(O66+Y66+AI66+AS66+BC66+BM66+BW66)</f>
        <v>56</v>
      </c>
    </row>
    <row r="67" spans="1:82" ht="14.4" x14ac:dyDescent="0.3">
      <c r="A67" s="50" t="s">
        <v>144</v>
      </c>
      <c r="B67" s="50" t="s">
        <v>84</v>
      </c>
      <c r="C67" s="68">
        <v>32.427990000000001</v>
      </c>
      <c r="D67" s="68">
        <v>-83.466710000000006</v>
      </c>
      <c r="E67" s="70">
        <v>45441</v>
      </c>
      <c r="F67" s="70">
        <v>45448</v>
      </c>
      <c r="G67" s="67">
        <v>45497</v>
      </c>
      <c r="H67" s="1" t="s">
        <v>25</v>
      </c>
      <c r="I67" s="1" t="s">
        <v>26</v>
      </c>
      <c r="J67" s="59" t="s">
        <v>144</v>
      </c>
      <c r="K67" s="6">
        <v>1</v>
      </c>
      <c r="L67" s="56">
        <f t="shared" si="46"/>
        <v>45455</v>
      </c>
      <c r="M67" s="50">
        <v>4</v>
      </c>
      <c r="N67" s="50">
        <v>4</v>
      </c>
      <c r="O67" s="50">
        <f t="shared" ref="O67:O130" si="52">SUM(M67+N67)</f>
        <v>8</v>
      </c>
      <c r="P67" s="50" t="s">
        <v>252</v>
      </c>
      <c r="Q67" s="57" t="s">
        <v>250</v>
      </c>
      <c r="T67" s="59" t="s">
        <v>144</v>
      </c>
      <c r="U67" s="6">
        <v>2</v>
      </c>
      <c r="V67" s="56">
        <v>45462</v>
      </c>
      <c r="W67" s="50">
        <v>0</v>
      </c>
      <c r="X67" s="50">
        <v>0</v>
      </c>
      <c r="Y67" s="50">
        <f t="shared" ref="Y67:Y129" si="53">SUM(W67+X67)</f>
        <v>0</v>
      </c>
      <c r="Z67" s="50" t="s">
        <v>250</v>
      </c>
      <c r="AA67" s="57" t="s">
        <v>250</v>
      </c>
      <c r="AC67" s="50"/>
      <c r="AD67" s="59" t="s">
        <v>144</v>
      </c>
      <c r="AE67" s="1">
        <v>3</v>
      </c>
      <c r="AF67" s="56">
        <v>45469</v>
      </c>
      <c r="AG67" s="50">
        <v>0</v>
      </c>
      <c r="AH67" s="50">
        <v>0</v>
      </c>
      <c r="AI67" s="50">
        <f t="shared" ref="AI67:AI72" si="54">SUM(AG67+AH67)</f>
        <v>0</v>
      </c>
      <c r="AJ67" s="50" t="s">
        <v>250</v>
      </c>
      <c r="AK67" s="57" t="s">
        <v>250</v>
      </c>
      <c r="AM67" s="50"/>
      <c r="AN67" s="59" t="s">
        <v>144</v>
      </c>
      <c r="AO67" s="1">
        <v>4</v>
      </c>
      <c r="AP67" s="56">
        <v>45476</v>
      </c>
      <c r="AQ67" s="50">
        <v>0</v>
      </c>
      <c r="AR67" s="50">
        <v>0</v>
      </c>
      <c r="AS67" s="50">
        <f t="shared" ref="AS67:AS70" si="55">SUM(AQ67+AR67)</f>
        <v>0</v>
      </c>
      <c r="AT67" s="50" t="s">
        <v>250</v>
      </c>
      <c r="AU67" s="57" t="s">
        <v>250</v>
      </c>
      <c r="AW67" s="50"/>
      <c r="AX67" s="59" t="s">
        <v>144</v>
      </c>
      <c r="AY67" s="1">
        <v>5</v>
      </c>
      <c r="AZ67" s="56">
        <v>45483</v>
      </c>
      <c r="BA67" s="50">
        <v>12</v>
      </c>
      <c r="BB67" s="50">
        <v>11</v>
      </c>
      <c r="BC67" s="50">
        <f t="shared" ref="BC67:BC129" si="56">SUM(BA67+BB67)</f>
        <v>23</v>
      </c>
      <c r="BD67" s="50" t="s">
        <v>252</v>
      </c>
      <c r="BE67" s="57" t="s">
        <v>252</v>
      </c>
      <c r="BG67" s="50"/>
      <c r="BH67" s="59" t="s">
        <v>144</v>
      </c>
      <c r="BI67" s="1">
        <v>6</v>
      </c>
      <c r="BJ67" s="56">
        <v>45490</v>
      </c>
      <c r="BK67" s="50">
        <v>1</v>
      </c>
      <c r="BL67" s="50">
        <v>2</v>
      </c>
      <c r="BM67" s="50">
        <f t="shared" si="13"/>
        <v>3</v>
      </c>
      <c r="BN67" s="50" t="s">
        <v>252</v>
      </c>
      <c r="BO67" s="57" t="s">
        <v>250</v>
      </c>
      <c r="BQ67" s="50"/>
      <c r="BR67" s="59" t="s">
        <v>144</v>
      </c>
      <c r="BS67" s="1">
        <v>7</v>
      </c>
      <c r="BT67" s="56">
        <v>45497</v>
      </c>
      <c r="BU67" s="50">
        <v>4</v>
      </c>
      <c r="BV67" s="50">
        <v>4</v>
      </c>
      <c r="BW67" s="50">
        <f>SUM(BU67+BV67)</f>
        <v>8</v>
      </c>
      <c r="BX67" s="50" t="s">
        <v>252</v>
      </c>
      <c r="BY67" s="50" t="s">
        <v>250</v>
      </c>
      <c r="CC67" s="77" t="s">
        <v>144</v>
      </c>
      <c r="CD67" s="78">
        <f t="shared" ref="CD67:CD78" si="57">SUM(O67+Y67+AI67+AS67+BC67+BM67+BW67)</f>
        <v>42</v>
      </c>
    </row>
    <row r="68" spans="1:82" ht="14.4" x14ac:dyDescent="0.3">
      <c r="A68" s="50" t="s">
        <v>145</v>
      </c>
      <c r="B68" s="50" t="s">
        <v>84</v>
      </c>
      <c r="C68" s="68">
        <v>32.432310000000001</v>
      </c>
      <c r="D68" s="68">
        <v>-83.453879999999998</v>
      </c>
      <c r="E68" s="70">
        <v>45434</v>
      </c>
      <c r="F68" s="70">
        <v>45448</v>
      </c>
      <c r="G68" s="67">
        <v>45502</v>
      </c>
      <c r="H68" s="1" t="s">
        <v>25</v>
      </c>
      <c r="I68" s="1" t="s">
        <v>26</v>
      </c>
      <c r="J68" s="59" t="s">
        <v>145</v>
      </c>
      <c r="K68" s="6">
        <v>1</v>
      </c>
      <c r="L68" s="56">
        <f t="shared" si="46"/>
        <v>45455</v>
      </c>
      <c r="M68" s="50">
        <v>8</v>
      </c>
      <c r="N68" s="50">
        <v>8</v>
      </c>
      <c r="O68" s="50">
        <f t="shared" si="52"/>
        <v>16</v>
      </c>
      <c r="P68" s="50" t="s">
        <v>252</v>
      </c>
      <c r="Q68" s="57" t="s">
        <v>250</v>
      </c>
      <c r="T68" s="59" t="s">
        <v>145</v>
      </c>
      <c r="U68" s="6">
        <v>2</v>
      </c>
      <c r="V68" s="56">
        <v>45462</v>
      </c>
      <c r="W68" s="50">
        <v>0</v>
      </c>
      <c r="X68" s="50">
        <v>0</v>
      </c>
      <c r="Y68" s="50">
        <f t="shared" si="53"/>
        <v>0</v>
      </c>
      <c r="Z68" s="50" t="s">
        <v>250</v>
      </c>
      <c r="AA68" s="57" t="s">
        <v>250</v>
      </c>
      <c r="AC68" s="50"/>
      <c r="AD68" s="59" t="s">
        <v>145</v>
      </c>
      <c r="AE68" s="1">
        <v>3</v>
      </c>
      <c r="AF68" s="56">
        <v>45469</v>
      </c>
      <c r="AG68" s="50">
        <v>0</v>
      </c>
      <c r="AH68" s="50">
        <v>0</v>
      </c>
      <c r="AI68" s="50">
        <f t="shared" si="54"/>
        <v>0</v>
      </c>
      <c r="AJ68" s="50" t="s">
        <v>250</v>
      </c>
      <c r="AK68" s="57" t="s">
        <v>250</v>
      </c>
      <c r="AM68" s="50"/>
      <c r="AN68" s="59" t="s">
        <v>145</v>
      </c>
      <c r="AO68" s="1">
        <v>4</v>
      </c>
      <c r="AP68" s="56">
        <v>45476</v>
      </c>
      <c r="AQ68" s="50">
        <v>0</v>
      </c>
      <c r="AR68" s="50">
        <v>0</v>
      </c>
      <c r="AS68" s="50">
        <f t="shared" si="55"/>
        <v>0</v>
      </c>
      <c r="AT68" s="50" t="s">
        <v>250</v>
      </c>
      <c r="AU68" s="57" t="s">
        <v>250</v>
      </c>
      <c r="AW68" s="50"/>
      <c r="AX68" s="59" t="s">
        <v>145</v>
      </c>
      <c r="AY68" s="1">
        <v>5</v>
      </c>
      <c r="AZ68" s="56">
        <v>45483</v>
      </c>
      <c r="BA68" s="50">
        <v>5</v>
      </c>
      <c r="BB68" s="50">
        <v>7</v>
      </c>
      <c r="BC68" s="50">
        <f t="shared" si="56"/>
        <v>12</v>
      </c>
      <c r="BD68" s="50" t="s">
        <v>252</v>
      </c>
      <c r="BE68" s="57" t="s">
        <v>250</v>
      </c>
      <c r="BG68" s="50"/>
      <c r="BH68" s="59" t="s">
        <v>145</v>
      </c>
      <c r="BI68" s="1">
        <v>6</v>
      </c>
      <c r="BJ68" s="56">
        <v>45490</v>
      </c>
      <c r="BK68" s="50">
        <v>0</v>
      </c>
      <c r="BL68" s="50">
        <v>0</v>
      </c>
      <c r="BM68" s="50">
        <f t="shared" ref="BM68:BM71" si="58">SUM(BK68+BL68)</f>
        <v>0</v>
      </c>
      <c r="BN68" s="50" t="s">
        <v>250</v>
      </c>
      <c r="BO68" s="57" t="s">
        <v>250</v>
      </c>
      <c r="BQ68" s="50"/>
      <c r="BR68" s="59" t="s">
        <v>145</v>
      </c>
      <c r="BS68" s="1">
        <v>7</v>
      </c>
      <c r="BT68" s="56">
        <v>45497</v>
      </c>
      <c r="BU68" s="50">
        <v>1</v>
      </c>
      <c r="BV68" s="50">
        <v>0</v>
      </c>
      <c r="BW68" s="50">
        <f>SUM(BU68+BV68)</f>
        <v>1</v>
      </c>
      <c r="BX68" s="50" t="s">
        <v>252</v>
      </c>
      <c r="BY68" s="50" t="s">
        <v>252</v>
      </c>
      <c r="CC68" s="77" t="s">
        <v>145</v>
      </c>
      <c r="CD68" s="78">
        <f t="shared" si="57"/>
        <v>29</v>
      </c>
    </row>
    <row r="69" spans="1:82" ht="14.4" x14ac:dyDescent="0.3">
      <c r="A69" s="50" t="s">
        <v>146</v>
      </c>
      <c r="B69" s="50" t="s">
        <v>84</v>
      </c>
      <c r="C69" s="68">
        <v>32.437609999999999</v>
      </c>
      <c r="D69" s="68">
        <v>-83.465680000000006</v>
      </c>
      <c r="E69" s="70">
        <v>45434</v>
      </c>
      <c r="F69" s="70">
        <v>45448</v>
      </c>
      <c r="G69" s="67">
        <v>45502</v>
      </c>
      <c r="H69" s="1" t="s">
        <v>25</v>
      </c>
      <c r="I69" s="1" t="s">
        <v>26</v>
      </c>
      <c r="J69" s="59" t="s">
        <v>146</v>
      </c>
      <c r="K69" s="6">
        <v>1</v>
      </c>
      <c r="L69" s="56">
        <f t="shared" si="46"/>
        <v>45455</v>
      </c>
      <c r="M69" s="50">
        <v>9</v>
      </c>
      <c r="N69" s="50">
        <v>5</v>
      </c>
      <c r="O69" s="50">
        <f t="shared" si="52"/>
        <v>14</v>
      </c>
      <c r="P69" s="50" t="s">
        <v>252</v>
      </c>
      <c r="Q69" s="57" t="s">
        <v>250</v>
      </c>
      <c r="T69" s="59" t="s">
        <v>146</v>
      </c>
      <c r="U69" s="6">
        <v>2</v>
      </c>
      <c r="V69" s="56">
        <v>45462</v>
      </c>
      <c r="W69" s="50">
        <v>0</v>
      </c>
      <c r="X69" s="50">
        <v>0</v>
      </c>
      <c r="Y69" s="50">
        <f>SUM(W69+X69)</f>
        <v>0</v>
      </c>
      <c r="Z69" s="50" t="s">
        <v>250</v>
      </c>
      <c r="AA69" s="57" t="s">
        <v>250</v>
      </c>
      <c r="AC69" s="50"/>
      <c r="AD69" s="59" t="s">
        <v>146</v>
      </c>
      <c r="AE69" s="1">
        <v>3</v>
      </c>
      <c r="AF69" s="56">
        <v>45469</v>
      </c>
      <c r="AG69" s="50">
        <v>0</v>
      </c>
      <c r="AH69" s="50">
        <v>0</v>
      </c>
      <c r="AI69" s="50">
        <f t="shared" si="54"/>
        <v>0</v>
      </c>
      <c r="AJ69" s="50" t="s">
        <v>250</v>
      </c>
      <c r="AK69" s="57" t="s">
        <v>250</v>
      </c>
      <c r="AM69" s="50"/>
      <c r="AN69" s="59" t="s">
        <v>146</v>
      </c>
      <c r="AO69" s="1">
        <v>4</v>
      </c>
      <c r="AP69" s="56">
        <v>45476</v>
      </c>
      <c r="AQ69" s="50">
        <v>0</v>
      </c>
      <c r="AR69" s="50">
        <v>0</v>
      </c>
      <c r="AS69" s="50">
        <f t="shared" si="55"/>
        <v>0</v>
      </c>
      <c r="AT69" s="50" t="s">
        <v>250</v>
      </c>
      <c r="AU69" s="57" t="s">
        <v>250</v>
      </c>
      <c r="AW69" s="50"/>
      <c r="AX69" s="59" t="s">
        <v>146</v>
      </c>
      <c r="AY69" s="1">
        <v>5</v>
      </c>
      <c r="AZ69" s="56">
        <v>45483</v>
      </c>
      <c r="BA69" s="50">
        <v>0</v>
      </c>
      <c r="BB69" s="50">
        <v>0</v>
      </c>
      <c r="BC69" s="50">
        <f t="shared" si="56"/>
        <v>0</v>
      </c>
      <c r="BD69" s="50" t="s">
        <v>250</v>
      </c>
      <c r="BE69" s="57" t="s">
        <v>250</v>
      </c>
      <c r="BG69" s="50"/>
      <c r="BH69" s="59" t="s">
        <v>146</v>
      </c>
      <c r="BI69" s="1">
        <v>6</v>
      </c>
      <c r="BJ69" s="56">
        <v>45490</v>
      </c>
      <c r="BK69" s="50">
        <v>0</v>
      </c>
      <c r="BL69" s="50">
        <v>0</v>
      </c>
      <c r="BM69" s="50">
        <f t="shared" si="58"/>
        <v>0</v>
      </c>
      <c r="BN69" s="50" t="s">
        <v>250</v>
      </c>
      <c r="BO69" s="57" t="s">
        <v>250</v>
      </c>
      <c r="BQ69" s="50"/>
      <c r="BR69" s="59" t="s">
        <v>146</v>
      </c>
      <c r="BS69" s="1">
        <v>7</v>
      </c>
      <c r="BT69" s="56">
        <v>45497</v>
      </c>
      <c r="BU69" s="50">
        <v>0</v>
      </c>
      <c r="BV69" s="50">
        <v>0</v>
      </c>
      <c r="BW69" s="50">
        <f>SUM(BU69+BV69)</f>
        <v>0</v>
      </c>
      <c r="BX69" s="50" t="s">
        <v>250</v>
      </c>
      <c r="BY69" s="50" t="s">
        <v>250</v>
      </c>
      <c r="CC69" s="77" t="s">
        <v>146</v>
      </c>
      <c r="CD69" s="78">
        <f t="shared" si="57"/>
        <v>14</v>
      </c>
    </row>
    <row r="70" spans="1:82" ht="14.4" x14ac:dyDescent="0.3">
      <c r="A70" s="50" t="s">
        <v>148</v>
      </c>
      <c r="B70" s="50" t="s">
        <v>84</v>
      </c>
      <c r="C70" s="68">
        <v>32.44511</v>
      </c>
      <c r="D70" s="68">
        <v>-83.471270000000004</v>
      </c>
      <c r="E70" s="70">
        <v>45434</v>
      </c>
      <c r="F70" s="70">
        <v>45448</v>
      </c>
      <c r="G70" s="67">
        <v>45497</v>
      </c>
      <c r="H70" s="1" t="s">
        <v>25</v>
      </c>
      <c r="I70" s="1" t="s">
        <v>26</v>
      </c>
      <c r="J70" s="59" t="s">
        <v>148</v>
      </c>
      <c r="K70" s="6">
        <v>1</v>
      </c>
      <c r="L70" s="56">
        <f t="shared" si="46"/>
        <v>45455</v>
      </c>
      <c r="M70" s="50">
        <v>0</v>
      </c>
      <c r="N70" s="50">
        <v>0</v>
      </c>
      <c r="O70" s="50">
        <f t="shared" si="52"/>
        <v>0</v>
      </c>
      <c r="P70" s="50" t="s">
        <v>250</v>
      </c>
      <c r="Q70" s="57" t="s">
        <v>250</v>
      </c>
      <c r="T70" s="59" t="s">
        <v>148</v>
      </c>
      <c r="U70" s="6">
        <v>2</v>
      </c>
      <c r="V70" s="56">
        <v>45462</v>
      </c>
      <c r="W70" s="50">
        <v>0</v>
      </c>
      <c r="X70" s="50">
        <v>1</v>
      </c>
      <c r="Y70" s="50">
        <f>SUM(W70+X70)</f>
        <v>1</v>
      </c>
      <c r="Z70" s="50" t="s">
        <v>250</v>
      </c>
      <c r="AA70" s="57" t="s">
        <v>250</v>
      </c>
      <c r="AB70" s="50" t="s">
        <v>290</v>
      </c>
      <c r="AC70" s="50"/>
      <c r="AD70" s="59" t="s">
        <v>148</v>
      </c>
      <c r="AE70" s="1">
        <v>3</v>
      </c>
      <c r="AF70" s="56">
        <v>45469</v>
      </c>
      <c r="AG70" s="50">
        <v>0</v>
      </c>
      <c r="AH70" s="50">
        <v>0</v>
      </c>
      <c r="AI70" s="50">
        <f t="shared" si="54"/>
        <v>0</v>
      </c>
      <c r="AJ70" s="50" t="s">
        <v>250</v>
      </c>
      <c r="AK70" s="57" t="s">
        <v>250</v>
      </c>
      <c r="AM70" s="50"/>
      <c r="AN70" s="59" t="s">
        <v>148</v>
      </c>
      <c r="AO70" s="1">
        <v>4</v>
      </c>
      <c r="AP70" s="56">
        <v>45476</v>
      </c>
      <c r="AQ70" s="50">
        <v>0</v>
      </c>
      <c r="AR70" s="50">
        <v>0</v>
      </c>
      <c r="AS70" s="50">
        <f t="shared" si="55"/>
        <v>0</v>
      </c>
      <c r="AT70" s="50" t="s">
        <v>250</v>
      </c>
      <c r="AU70" s="57" t="s">
        <v>250</v>
      </c>
      <c r="AW70" s="50"/>
      <c r="AX70" s="59" t="s">
        <v>148</v>
      </c>
      <c r="AY70" s="1">
        <v>5</v>
      </c>
      <c r="AZ70" s="56">
        <v>45483</v>
      </c>
      <c r="BA70" s="50">
        <v>0</v>
      </c>
      <c r="BB70" s="50">
        <v>0</v>
      </c>
      <c r="BC70" s="50">
        <f t="shared" si="56"/>
        <v>0</v>
      </c>
      <c r="BD70" s="50" t="s">
        <v>250</v>
      </c>
      <c r="BE70" s="57" t="s">
        <v>250</v>
      </c>
      <c r="BG70" s="50"/>
      <c r="BH70" s="59" t="s">
        <v>148</v>
      </c>
      <c r="BI70" s="1">
        <v>6</v>
      </c>
      <c r="BJ70" s="56">
        <v>45490</v>
      </c>
      <c r="BK70" s="50">
        <v>0</v>
      </c>
      <c r="BL70" s="50">
        <v>0</v>
      </c>
      <c r="BM70" s="50">
        <f t="shared" si="58"/>
        <v>0</v>
      </c>
      <c r="BN70" s="50" t="s">
        <v>250</v>
      </c>
      <c r="BO70" s="57" t="s">
        <v>250</v>
      </c>
      <c r="BQ70" s="50"/>
      <c r="BR70" s="59" t="s">
        <v>148</v>
      </c>
      <c r="BS70" s="1">
        <v>7</v>
      </c>
      <c r="BT70" s="56">
        <v>45497</v>
      </c>
      <c r="BU70" s="50">
        <v>0</v>
      </c>
      <c r="BV70" s="50">
        <v>0</v>
      </c>
      <c r="BW70" s="50">
        <f t="shared" ref="BW70:BW71" si="59">SUM(BU70+BV70)</f>
        <v>0</v>
      </c>
      <c r="BX70" s="50" t="s">
        <v>250</v>
      </c>
      <c r="BY70" s="50" t="s">
        <v>250</v>
      </c>
      <c r="CC70" s="77" t="s">
        <v>148</v>
      </c>
      <c r="CD70" s="78">
        <f t="shared" si="57"/>
        <v>1</v>
      </c>
    </row>
    <row r="71" spans="1:82" ht="14.4" x14ac:dyDescent="0.3">
      <c r="A71" s="50" t="s">
        <v>149</v>
      </c>
      <c r="B71" s="50" t="s">
        <v>84</v>
      </c>
      <c r="C71" s="68">
        <v>32.446930000000002</v>
      </c>
      <c r="D71" s="68">
        <v>-83.453460000000007</v>
      </c>
      <c r="E71" s="70">
        <v>45434</v>
      </c>
      <c r="F71" s="70">
        <v>45448</v>
      </c>
      <c r="G71" s="67">
        <v>45502</v>
      </c>
      <c r="H71" s="1" t="s">
        <v>25</v>
      </c>
      <c r="I71" s="1" t="s">
        <v>26</v>
      </c>
      <c r="J71" s="59" t="s">
        <v>149</v>
      </c>
      <c r="K71" s="6">
        <v>1</v>
      </c>
      <c r="L71" s="56">
        <f t="shared" si="46"/>
        <v>45455</v>
      </c>
      <c r="M71" s="50">
        <v>0</v>
      </c>
      <c r="N71" s="50">
        <v>0</v>
      </c>
      <c r="O71" s="50">
        <f t="shared" si="52"/>
        <v>0</v>
      </c>
      <c r="P71" s="50" t="s">
        <v>250</v>
      </c>
      <c r="Q71" s="57" t="s">
        <v>250</v>
      </c>
      <c r="T71" s="59" t="s">
        <v>149</v>
      </c>
      <c r="U71" s="6">
        <v>2</v>
      </c>
      <c r="V71" s="56">
        <v>45462</v>
      </c>
      <c r="W71" s="50">
        <v>0</v>
      </c>
      <c r="X71" s="50">
        <v>0</v>
      </c>
      <c r="Y71" s="50">
        <f>SUM(W71+X71)</f>
        <v>0</v>
      </c>
      <c r="Z71" s="50" t="s">
        <v>250</v>
      </c>
      <c r="AA71" s="57" t="s">
        <v>250</v>
      </c>
      <c r="AC71" s="50"/>
      <c r="AD71" s="59" t="s">
        <v>149</v>
      </c>
      <c r="AE71" s="1">
        <v>3</v>
      </c>
      <c r="AF71" s="56">
        <v>45469</v>
      </c>
      <c r="AG71" s="50">
        <v>0</v>
      </c>
      <c r="AH71" s="50">
        <v>0</v>
      </c>
      <c r="AI71" s="50">
        <f t="shared" si="54"/>
        <v>0</v>
      </c>
      <c r="AJ71" s="50" t="s">
        <v>250</v>
      </c>
      <c r="AK71" s="57" t="s">
        <v>250</v>
      </c>
      <c r="AM71" s="50"/>
      <c r="AN71" s="59" t="s">
        <v>149</v>
      </c>
      <c r="AO71" s="1">
        <v>4</v>
      </c>
      <c r="AP71" s="56">
        <v>45476</v>
      </c>
      <c r="AQ71" s="50">
        <v>0</v>
      </c>
      <c r="AR71" s="50">
        <v>5</v>
      </c>
      <c r="AS71" s="50">
        <f t="shared" ref="AS71:AS129" si="60">SUM(AQ71+AR71)</f>
        <v>5</v>
      </c>
      <c r="AT71" s="50" t="s">
        <v>252</v>
      </c>
      <c r="AU71" s="57" t="s">
        <v>250</v>
      </c>
      <c r="AW71" s="50"/>
      <c r="AX71" s="59" t="s">
        <v>149</v>
      </c>
      <c r="AY71" s="1">
        <v>5</v>
      </c>
      <c r="AZ71" s="56">
        <v>45483</v>
      </c>
      <c r="BA71" s="50">
        <v>0</v>
      </c>
      <c r="BB71" s="50">
        <v>0</v>
      </c>
      <c r="BC71" s="50">
        <f t="shared" si="56"/>
        <v>0</v>
      </c>
      <c r="BD71" s="50" t="s">
        <v>250</v>
      </c>
      <c r="BE71" s="57" t="s">
        <v>250</v>
      </c>
      <c r="BG71" s="50"/>
      <c r="BH71" s="59" t="s">
        <v>149</v>
      </c>
      <c r="BI71" s="1">
        <v>6</v>
      </c>
      <c r="BJ71" s="56">
        <v>45490</v>
      </c>
      <c r="BK71" s="50">
        <v>1</v>
      </c>
      <c r="BL71" s="50">
        <v>4</v>
      </c>
      <c r="BM71" s="50">
        <f t="shared" si="58"/>
        <v>5</v>
      </c>
      <c r="BN71" s="50" t="s">
        <v>252</v>
      </c>
      <c r="BO71" s="57" t="s">
        <v>250</v>
      </c>
      <c r="BQ71" s="50"/>
      <c r="BR71" s="59" t="s">
        <v>149</v>
      </c>
      <c r="BS71" s="1">
        <v>7</v>
      </c>
      <c r="BT71" s="56">
        <v>45497</v>
      </c>
      <c r="BU71" s="50">
        <v>6</v>
      </c>
      <c r="BV71" s="50">
        <v>2</v>
      </c>
      <c r="BW71" s="50">
        <f t="shared" si="59"/>
        <v>8</v>
      </c>
      <c r="BX71" s="50" t="s">
        <v>252</v>
      </c>
      <c r="BY71" s="50" t="s">
        <v>250</v>
      </c>
      <c r="CC71" s="77" t="s">
        <v>149</v>
      </c>
      <c r="CD71" s="78">
        <f t="shared" si="57"/>
        <v>18</v>
      </c>
    </row>
    <row r="72" spans="1:82" ht="14.4" x14ac:dyDescent="0.3">
      <c r="A72" s="50" t="s">
        <v>150</v>
      </c>
      <c r="B72" s="50" t="s">
        <v>84</v>
      </c>
      <c r="C72" s="68">
        <v>32.450159999999997</v>
      </c>
      <c r="D72" s="68">
        <v>-83.479699999999994</v>
      </c>
      <c r="E72" s="70">
        <v>45435</v>
      </c>
      <c r="F72" s="70">
        <v>45448</v>
      </c>
      <c r="G72" s="67">
        <v>45497</v>
      </c>
      <c r="H72" s="1" t="s">
        <v>25</v>
      </c>
      <c r="I72" s="1" t="s">
        <v>26</v>
      </c>
      <c r="J72" s="59" t="s">
        <v>150</v>
      </c>
      <c r="K72" s="6">
        <v>1</v>
      </c>
      <c r="L72" s="56">
        <f t="shared" si="46"/>
        <v>45455</v>
      </c>
      <c r="M72" s="50">
        <v>0</v>
      </c>
      <c r="N72" s="50">
        <v>0</v>
      </c>
      <c r="O72" s="50">
        <f>SUM(M72+N72)</f>
        <v>0</v>
      </c>
      <c r="P72" s="50" t="s">
        <v>250</v>
      </c>
      <c r="Q72" s="57" t="s">
        <v>250</v>
      </c>
      <c r="T72" s="59" t="s">
        <v>150</v>
      </c>
      <c r="U72" s="6">
        <v>2</v>
      </c>
      <c r="V72" s="56">
        <v>45462</v>
      </c>
      <c r="W72" s="50">
        <v>0</v>
      </c>
      <c r="X72" s="50">
        <v>0</v>
      </c>
      <c r="Y72" s="50">
        <f>SUM(W72+X72)</f>
        <v>0</v>
      </c>
      <c r="Z72" s="50" t="s">
        <v>250</v>
      </c>
      <c r="AA72" s="57" t="s">
        <v>250</v>
      </c>
      <c r="AC72" s="50"/>
      <c r="AD72" s="59" t="s">
        <v>150</v>
      </c>
      <c r="AE72" s="1">
        <v>3</v>
      </c>
      <c r="AF72" s="56">
        <v>45469</v>
      </c>
      <c r="AG72" s="50">
        <v>0</v>
      </c>
      <c r="AH72" s="50">
        <v>0</v>
      </c>
      <c r="AI72" s="50">
        <f t="shared" si="54"/>
        <v>0</v>
      </c>
      <c r="AJ72" s="50" t="s">
        <v>250</v>
      </c>
      <c r="AK72" s="57" t="s">
        <v>250</v>
      </c>
      <c r="AM72" s="50"/>
      <c r="AN72" s="59" t="s">
        <v>150</v>
      </c>
      <c r="AO72" s="1">
        <v>4</v>
      </c>
      <c r="AP72" s="56">
        <v>45476</v>
      </c>
      <c r="AQ72" s="50">
        <v>0</v>
      </c>
      <c r="AR72" s="50">
        <v>0</v>
      </c>
      <c r="AS72" s="50">
        <f t="shared" si="60"/>
        <v>0</v>
      </c>
      <c r="AT72" s="50" t="s">
        <v>250</v>
      </c>
      <c r="AU72" s="57" t="s">
        <v>250</v>
      </c>
      <c r="AW72" s="50"/>
      <c r="AX72" s="59" t="s">
        <v>150</v>
      </c>
      <c r="AY72" s="1">
        <v>5</v>
      </c>
      <c r="AZ72" s="56">
        <v>45483</v>
      </c>
      <c r="BA72" s="50">
        <v>18</v>
      </c>
      <c r="BB72" s="50">
        <v>7</v>
      </c>
      <c r="BC72" s="50">
        <f t="shared" si="56"/>
        <v>25</v>
      </c>
      <c r="BD72" s="50" t="s">
        <v>252</v>
      </c>
      <c r="BE72" s="57" t="s">
        <v>250</v>
      </c>
      <c r="BG72" s="50"/>
      <c r="BH72" s="59" t="s">
        <v>150</v>
      </c>
      <c r="BI72" s="1">
        <v>6</v>
      </c>
      <c r="BJ72" s="56">
        <v>45490</v>
      </c>
      <c r="BK72" s="50">
        <v>0</v>
      </c>
      <c r="BL72" s="50">
        <v>0</v>
      </c>
      <c r="BM72" s="50">
        <f t="shared" ref="BM72:BM75" si="61">SUM(BK72+BL72)</f>
        <v>0</v>
      </c>
      <c r="BN72" s="50" t="s">
        <v>250</v>
      </c>
      <c r="BO72" s="57" t="s">
        <v>250</v>
      </c>
      <c r="BQ72" s="50"/>
      <c r="BR72" s="59" t="s">
        <v>150</v>
      </c>
      <c r="BS72" s="1">
        <v>7</v>
      </c>
      <c r="BT72" s="56">
        <v>45497</v>
      </c>
      <c r="BU72" s="50">
        <v>0</v>
      </c>
      <c r="BV72" s="50">
        <v>0</v>
      </c>
      <c r="BW72" s="50">
        <f t="shared" ref="BW72:BW75" si="62">SUM(BU72+BV72)</f>
        <v>0</v>
      </c>
      <c r="BX72" s="50" t="s">
        <v>250</v>
      </c>
      <c r="BY72" s="50" t="s">
        <v>250</v>
      </c>
      <c r="CC72" s="77" t="s">
        <v>150</v>
      </c>
      <c r="CD72" s="78">
        <f t="shared" si="57"/>
        <v>25</v>
      </c>
    </row>
    <row r="73" spans="1:82" ht="14.4" x14ac:dyDescent="0.3">
      <c r="A73" s="50" t="s">
        <v>151</v>
      </c>
      <c r="B73" s="50" t="s">
        <v>84</v>
      </c>
      <c r="C73" s="68">
        <v>32.45984</v>
      </c>
      <c r="D73" s="68">
        <v>-83.487440000000007</v>
      </c>
      <c r="E73" s="70">
        <v>45435</v>
      </c>
      <c r="F73" s="70">
        <v>45448</v>
      </c>
      <c r="G73" s="67">
        <v>45497</v>
      </c>
      <c r="H73" s="1" t="s">
        <v>25</v>
      </c>
      <c r="I73" s="1" t="s">
        <v>26</v>
      </c>
      <c r="J73" s="59" t="s">
        <v>151</v>
      </c>
      <c r="K73" s="6">
        <v>1</v>
      </c>
      <c r="L73" s="56">
        <f t="shared" si="46"/>
        <v>45455</v>
      </c>
      <c r="M73" s="50">
        <v>0</v>
      </c>
      <c r="N73" s="50">
        <v>0</v>
      </c>
      <c r="O73" s="50">
        <f t="shared" si="52"/>
        <v>0</v>
      </c>
      <c r="P73" s="50" t="s">
        <v>250</v>
      </c>
      <c r="Q73" s="57" t="s">
        <v>250</v>
      </c>
      <c r="T73" s="59" t="s">
        <v>151</v>
      </c>
      <c r="U73" s="6">
        <v>2</v>
      </c>
      <c r="V73" s="56">
        <v>45462</v>
      </c>
      <c r="W73" s="50">
        <v>0</v>
      </c>
      <c r="X73" s="50">
        <v>0</v>
      </c>
      <c r="Y73" s="50">
        <f t="shared" si="53"/>
        <v>0</v>
      </c>
      <c r="Z73" s="50" t="s">
        <v>250</v>
      </c>
      <c r="AA73" s="57" t="s">
        <v>250</v>
      </c>
      <c r="AC73" s="50"/>
      <c r="AD73" s="59" t="s">
        <v>151</v>
      </c>
      <c r="AE73" s="1">
        <v>3</v>
      </c>
      <c r="AF73" s="56">
        <v>45469</v>
      </c>
      <c r="AG73" s="50">
        <v>1</v>
      </c>
      <c r="AH73" s="50">
        <v>1</v>
      </c>
      <c r="AI73" s="50">
        <f t="shared" ref="AI73:AI129" si="63">SUM(AG73+AH73)</f>
        <v>2</v>
      </c>
      <c r="AJ73" s="50" t="s">
        <v>252</v>
      </c>
      <c r="AK73" s="57" t="s">
        <v>250</v>
      </c>
      <c r="AL73" s="50" t="s">
        <v>294</v>
      </c>
      <c r="AM73" s="50"/>
      <c r="AN73" s="59" t="s">
        <v>151</v>
      </c>
      <c r="AO73" s="1">
        <v>4</v>
      </c>
      <c r="AP73" s="56">
        <v>45476</v>
      </c>
      <c r="AQ73" s="50">
        <v>0</v>
      </c>
      <c r="AR73" s="50">
        <v>0</v>
      </c>
      <c r="AS73" s="50">
        <f t="shared" si="60"/>
        <v>0</v>
      </c>
      <c r="AT73" s="50" t="s">
        <v>250</v>
      </c>
      <c r="AU73" s="57" t="s">
        <v>250</v>
      </c>
      <c r="AW73" s="50"/>
      <c r="AX73" s="59" t="s">
        <v>151</v>
      </c>
      <c r="AY73" s="1">
        <v>5</v>
      </c>
      <c r="AZ73" s="56">
        <v>45483</v>
      </c>
      <c r="BA73" s="50">
        <v>0</v>
      </c>
      <c r="BB73" s="50">
        <v>0</v>
      </c>
      <c r="BC73" s="50">
        <f t="shared" ref="BC73:BC74" si="64">SUM(BA73+BB73)</f>
        <v>0</v>
      </c>
      <c r="BD73" s="50" t="s">
        <v>250</v>
      </c>
      <c r="BE73" s="57" t="s">
        <v>250</v>
      </c>
      <c r="BG73" s="50"/>
      <c r="BH73" s="59" t="s">
        <v>151</v>
      </c>
      <c r="BI73" s="1">
        <v>6</v>
      </c>
      <c r="BJ73" s="56">
        <v>45490</v>
      </c>
      <c r="BK73" s="50">
        <v>0</v>
      </c>
      <c r="BL73" s="50">
        <v>0</v>
      </c>
      <c r="BM73" s="50">
        <f t="shared" si="61"/>
        <v>0</v>
      </c>
      <c r="BN73" s="50" t="s">
        <v>250</v>
      </c>
      <c r="BO73" s="57" t="s">
        <v>250</v>
      </c>
      <c r="BQ73" s="50"/>
      <c r="BR73" s="59" t="s">
        <v>151</v>
      </c>
      <c r="BS73" s="1">
        <v>7</v>
      </c>
      <c r="BT73" s="56">
        <v>45497</v>
      </c>
      <c r="BU73" s="50">
        <v>0</v>
      </c>
      <c r="BV73" s="50">
        <v>0</v>
      </c>
      <c r="BW73" s="50">
        <f t="shared" si="62"/>
        <v>0</v>
      </c>
      <c r="BX73" s="50" t="s">
        <v>250</v>
      </c>
      <c r="BY73" s="50" t="s">
        <v>250</v>
      </c>
      <c r="CC73" s="77" t="s">
        <v>151</v>
      </c>
      <c r="CD73" s="78">
        <f t="shared" si="57"/>
        <v>2</v>
      </c>
    </row>
    <row r="74" spans="1:82" ht="14.4" x14ac:dyDescent="0.3">
      <c r="A74" s="50" t="s">
        <v>152</v>
      </c>
      <c r="B74" s="50" t="s">
        <v>84</v>
      </c>
      <c r="C74" s="68">
        <v>32.459330000000001</v>
      </c>
      <c r="D74" s="68">
        <v>-83.470770000000002</v>
      </c>
      <c r="E74" s="70">
        <v>45435</v>
      </c>
      <c r="F74" s="70">
        <v>45448</v>
      </c>
      <c r="G74" s="67">
        <v>45497</v>
      </c>
      <c r="H74" s="1" t="s">
        <v>25</v>
      </c>
      <c r="I74" s="1" t="s">
        <v>26</v>
      </c>
      <c r="J74" s="59" t="s">
        <v>152</v>
      </c>
      <c r="K74" s="6">
        <v>1</v>
      </c>
      <c r="L74" s="56">
        <f t="shared" si="46"/>
        <v>45455</v>
      </c>
      <c r="M74" s="50">
        <v>0</v>
      </c>
      <c r="N74" s="50">
        <v>0</v>
      </c>
      <c r="O74" s="50">
        <f>SUM(M74+N74)</f>
        <v>0</v>
      </c>
      <c r="P74" s="50" t="s">
        <v>250</v>
      </c>
      <c r="Q74" s="57" t="s">
        <v>250</v>
      </c>
      <c r="T74" s="59" t="s">
        <v>152</v>
      </c>
      <c r="U74" s="6">
        <v>2</v>
      </c>
      <c r="V74" s="56">
        <v>45462</v>
      </c>
      <c r="W74" s="50">
        <v>24</v>
      </c>
      <c r="X74" s="50">
        <v>16</v>
      </c>
      <c r="Y74" s="50">
        <f t="shared" si="53"/>
        <v>40</v>
      </c>
      <c r="Z74" s="50" t="s">
        <v>252</v>
      </c>
      <c r="AA74" s="57" t="s">
        <v>252</v>
      </c>
      <c r="AC74" s="50"/>
      <c r="AD74" s="59" t="s">
        <v>152</v>
      </c>
      <c r="AE74" s="1">
        <v>3</v>
      </c>
      <c r="AF74" s="56">
        <v>45469</v>
      </c>
      <c r="AG74" s="50">
        <v>0</v>
      </c>
      <c r="AH74" s="50">
        <v>0</v>
      </c>
      <c r="AI74" s="50">
        <f t="shared" si="63"/>
        <v>0</v>
      </c>
      <c r="AJ74" s="50" t="s">
        <v>250</v>
      </c>
      <c r="AK74" s="57" t="s">
        <v>250</v>
      </c>
      <c r="AM74" s="50"/>
      <c r="AN74" s="59" t="s">
        <v>152</v>
      </c>
      <c r="AO74" s="1">
        <v>4</v>
      </c>
      <c r="AP74" s="56">
        <v>45476</v>
      </c>
      <c r="AQ74" s="50">
        <v>8</v>
      </c>
      <c r="AR74" s="50">
        <v>2</v>
      </c>
      <c r="AS74" s="50">
        <f t="shared" si="60"/>
        <v>10</v>
      </c>
      <c r="AT74" s="50" t="s">
        <v>252</v>
      </c>
      <c r="AU74" s="57" t="s">
        <v>250</v>
      </c>
      <c r="AW74" s="50"/>
      <c r="AX74" s="59" t="s">
        <v>152</v>
      </c>
      <c r="AY74" s="1">
        <v>5</v>
      </c>
      <c r="AZ74" s="56">
        <v>45483</v>
      </c>
      <c r="BA74" s="50">
        <v>0</v>
      </c>
      <c r="BB74" s="50">
        <v>0</v>
      </c>
      <c r="BC74" s="50">
        <f t="shared" si="64"/>
        <v>0</v>
      </c>
      <c r="BD74" s="50" t="s">
        <v>250</v>
      </c>
      <c r="BE74" s="57" t="s">
        <v>250</v>
      </c>
      <c r="BG74" s="50" t="s">
        <v>296</v>
      </c>
      <c r="BH74" s="59" t="s">
        <v>152</v>
      </c>
      <c r="BI74" s="1">
        <v>6</v>
      </c>
      <c r="BJ74" s="56">
        <v>45490</v>
      </c>
      <c r="BK74" s="50">
        <v>0</v>
      </c>
      <c r="BL74" s="50">
        <v>0</v>
      </c>
      <c r="BM74" s="50">
        <f t="shared" si="61"/>
        <v>0</v>
      </c>
      <c r="BN74" s="50" t="s">
        <v>250</v>
      </c>
      <c r="BO74" s="57" t="s">
        <v>250</v>
      </c>
      <c r="BQ74" s="50"/>
      <c r="BR74" s="59" t="s">
        <v>152</v>
      </c>
      <c r="BS74" s="1">
        <v>7</v>
      </c>
      <c r="BT74" s="56">
        <v>45497</v>
      </c>
      <c r="BU74" s="50">
        <v>0</v>
      </c>
      <c r="BV74" s="50">
        <v>0</v>
      </c>
      <c r="BW74" s="50">
        <f t="shared" si="62"/>
        <v>0</v>
      </c>
      <c r="BX74" s="50" t="s">
        <v>250</v>
      </c>
      <c r="BY74" s="50" t="s">
        <v>250</v>
      </c>
      <c r="CC74" s="77" t="s">
        <v>152</v>
      </c>
      <c r="CD74" s="78">
        <f t="shared" si="57"/>
        <v>50</v>
      </c>
    </row>
    <row r="75" spans="1:82" ht="14.4" x14ac:dyDescent="0.3">
      <c r="A75" s="50" t="s">
        <v>153</v>
      </c>
      <c r="B75" s="50" t="s">
        <v>84</v>
      </c>
      <c r="C75" s="68">
        <v>32.45467</v>
      </c>
      <c r="D75" s="68">
        <v>-83.450199999999995</v>
      </c>
      <c r="E75" s="70">
        <v>45435</v>
      </c>
      <c r="F75" s="70">
        <v>45448</v>
      </c>
      <c r="G75" s="67">
        <v>45491</v>
      </c>
      <c r="H75" s="1" t="s">
        <v>25</v>
      </c>
      <c r="I75" s="1" t="s">
        <v>26</v>
      </c>
      <c r="J75" s="59" t="s">
        <v>153</v>
      </c>
      <c r="K75" s="6">
        <v>1</v>
      </c>
      <c r="L75" s="56">
        <f t="shared" si="46"/>
        <v>45455</v>
      </c>
      <c r="M75" s="50">
        <v>0</v>
      </c>
      <c r="N75" s="50">
        <v>0</v>
      </c>
      <c r="O75" s="50">
        <f t="shared" si="52"/>
        <v>0</v>
      </c>
      <c r="P75" s="50" t="s">
        <v>250</v>
      </c>
      <c r="Q75" s="57" t="s">
        <v>250</v>
      </c>
      <c r="T75" s="59" t="s">
        <v>153</v>
      </c>
      <c r="U75" s="6">
        <v>2</v>
      </c>
      <c r="V75" s="56">
        <v>45462</v>
      </c>
      <c r="W75" s="50">
        <v>0</v>
      </c>
      <c r="X75" s="50">
        <v>1</v>
      </c>
      <c r="Y75" s="50">
        <f t="shared" si="53"/>
        <v>1</v>
      </c>
      <c r="Z75" s="50" t="s">
        <v>250</v>
      </c>
      <c r="AA75" s="57" t="s">
        <v>250</v>
      </c>
      <c r="AB75" s="50" t="s">
        <v>253</v>
      </c>
      <c r="AC75" s="50"/>
      <c r="AD75" s="59" t="s">
        <v>153</v>
      </c>
      <c r="AE75" s="1">
        <v>3</v>
      </c>
      <c r="AF75" s="56">
        <v>45469</v>
      </c>
      <c r="AG75" s="50">
        <v>0</v>
      </c>
      <c r="AH75" s="50">
        <v>1</v>
      </c>
      <c r="AI75" s="50">
        <f t="shared" si="63"/>
        <v>1</v>
      </c>
      <c r="AJ75" s="50" t="s">
        <v>250</v>
      </c>
      <c r="AK75" s="57" t="s">
        <v>250</v>
      </c>
      <c r="AL75" s="50" t="s">
        <v>288</v>
      </c>
      <c r="AM75" s="50"/>
      <c r="AN75" s="59" t="s">
        <v>153</v>
      </c>
      <c r="AO75" s="1">
        <v>4</v>
      </c>
      <c r="AP75" s="56">
        <v>45476</v>
      </c>
      <c r="AQ75" s="50">
        <v>0</v>
      </c>
      <c r="AR75" s="50">
        <v>0</v>
      </c>
      <c r="AS75" s="50">
        <f t="shared" ref="AS75:AS77" si="65">SUM(AQ75+AR75)</f>
        <v>0</v>
      </c>
      <c r="AT75" s="50" t="s">
        <v>250</v>
      </c>
      <c r="AU75" s="57" t="s">
        <v>250</v>
      </c>
      <c r="AW75" s="50"/>
      <c r="AX75" s="59" t="s">
        <v>153</v>
      </c>
      <c r="AY75" s="1">
        <v>5</v>
      </c>
      <c r="AZ75" s="56">
        <v>45483</v>
      </c>
      <c r="BA75" s="50">
        <v>0</v>
      </c>
      <c r="BB75" s="50">
        <v>0</v>
      </c>
      <c r="BC75" s="50">
        <f t="shared" si="56"/>
        <v>0</v>
      </c>
      <c r="BD75" s="50" t="s">
        <v>250</v>
      </c>
      <c r="BE75" s="57" t="s">
        <v>250</v>
      </c>
      <c r="BG75" s="50"/>
      <c r="BH75" s="59" t="s">
        <v>153</v>
      </c>
      <c r="BI75" s="1">
        <v>6</v>
      </c>
      <c r="BJ75" s="56">
        <v>45490</v>
      </c>
      <c r="BK75" s="50">
        <v>0</v>
      </c>
      <c r="BL75" s="50">
        <v>1</v>
      </c>
      <c r="BM75" s="50">
        <f t="shared" si="61"/>
        <v>1</v>
      </c>
      <c r="BN75" s="50" t="s">
        <v>261</v>
      </c>
      <c r="BO75" s="57" t="s">
        <v>250</v>
      </c>
      <c r="BQ75" s="50"/>
      <c r="BR75" s="59" t="s">
        <v>153</v>
      </c>
      <c r="BS75" s="1">
        <v>7</v>
      </c>
      <c r="BT75" s="56">
        <v>45497</v>
      </c>
      <c r="BU75" s="50">
        <v>0</v>
      </c>
      <c r="BV75" s="50">
        <v>0</v>
      </c>
      <c r="BW75" s="50">
        <f t="shared" si="62"/>
        <v>0</v>
      </c>
      <c r="BX75" s="50" t="s">
        <v>250</v>
      </c>
      <c r="BY75" s="50" t="s">
        <v>250</v>
      </c>
      <c r="CC75" s="77" t="s">
        <v>153</v>
      </c>
      <c r="CD75" s="78">
        <f t="shared" si="57"/>
        <v>3</v>
      </c>
    </row>
    <row r="76" spans="1:82" ht="14.4" x14ac:dyDescent="0.3">
      <c r="A76" s="50" t="s">
        <v>154</v>
      </c>
      <c r="B76" s="50" t="s">
        <v>84</v>
      </c>
      <c r="C76" s="68">
        <v>32.474739999999997</v>
      </c>
      <c r="D76" s="68">
        <v>-83.454430000000002</v>
      </c>
      <c r="E76" s="70">
        <v>45435</v>
      </c>
      <c r="F76" s="70">
        <v>45448</v>
      </c>
      <c r="G76" s="67">
        <v>45497</v>
      </c>
      <c r="H76" s="1" t="s">
        <v>25</v>
      </c>
      <c r="I76" s="1" t="s">
        <v>26</v>
      </c>
      <c r="J76" s="59" t="s">
        <v>154</v>
      </c>
      <c r="K76" s="6">
        <v>1</v>
      </c>
      <c r="L76" s="56">
        <f t="shared" si="46"/>
        <v>45455</v>
      </c>
      <c r="M76" s="50">
        <v>0</v>
      </c>
      <c r="N76" s="50">
        <v>1</v>
      </c>
      <c r="O76" s="50">
        <f t="shared" si="52"/>
        <v>1</v>
      </c>
      <c r="P76" s="50" t="s">
        <v>250</v>
      </c>
      <c r="Q76" s="57" t="s">
        <v>250</v>
      </c>
      <c r="R76" s="57" t="s">
        <v>260</v>
      </c>
      <c r="T76" s="59" t="s">
        <v>154</v>
      </c>
      <c r="U76" s="6">
        <v>2</v>
      </c>
      <c r="V76" s="56">
        <v>45462</v>
      </c>
      <c r="W76" s="50">
        <v>0</v>
      </c>
      <c r="X76" s="50">
        <v>1</v>
      </c>
      <c r="Y76" s="50">
        <f t="shared" si="53"/>
        <v>1</v>
      </c>
      <c r="Z76" s="50" t="s">
        <v>250</v>
      </c>
      <c r="AA76" s="57" t="s">
        <v>250</v>
      </c>
      <c r="AB76" s="50" t="s">
        <v>290</v>
      </c>
      <c r="AC76" s="50"/>
      <c r="AD76" s="59" t="s">
        <v>154</v>
      </c>
      <c r="AE76" s="1">
        <v>3</v>
      </c>
      <c r="AF76" s="56">
        <v>45469</v>
      </c>
      <c r="AG76" s="50">
        <v>0</v>
      </c>
      <c r="AH76" s="50">
        <v>0</v>
      </c>
      <c r="AI76" s="50">
        <f t="shared" ref="AI76:AI77" si="66">SUM(AG76+AH76)</f>
        <v>0</v>
      </c>
      <c r="AJ76" s="50" t="s">
        <v>250</v>
      </c>
      <c r="AK76" s="57" t="s">
        <v>250</v>
      </c>
      <c r="AM76" s="50"/>
      <c r="AN76" s="59" t="s">
        <v>154</v>
      </c>
      <c r="AO76" s="1">
        <v>4</v>
      </c>
      <c r="AP76" s="56">
        <v>45476</v>
      </c>
      <c r="AQ76" s="50">
        <v>0</v>
      </c>
      <c r="AR76" s="50">
        <v>0</v>
      </c>
      <c r="AS76" s="50">
        <f t="shared" si="65"/>
        <v>0</v>
      </c>
      <c r="AT76" s="50" t="s">
        <v>250</v>
      </c>
      <c r="AU76" s="57" t="s">
        <v>250</v>
      </c>
      <c r="AW76" s="50"/>
      <c r="AX76" s="59" t="s">
        <v>154</v>
      </c>
      <c r="AY76" s="1">
        <v>5</v>
      </c>
      <c r="AZ76" s="56">
        <v>45483</v>
      </c>
      <c r="BA76" s="50">
        <v>0</v>
      </c>
      <c r="BB76" s="50">
        <v>0</v>
      </c>
      <c r="BC76" s="50">
        <f t="shared" si="56"/>
        <v>0</v>
      </c>
      <c r="BD76" s="50" t="s">
        <v>250</v>
      </c>
      <c r="BE76" s="57" t="s">
        <v>250</v>
      </c>
      <c r="BG76" s="50" t="s">
        <v>296</v>
      </c>
      <c r="BH76" s="59" t="s">
        <v>154</v>
      </c>
      <c r="BI76" s="1">
        <v>6</v>
      </c>
      <c r="BJ76" s="56">
        <v>45490</v>
      </c>
      <c r="BK76" s="50">
        <v>0</v>
      </c>
      <c r="BL76" s="50">
        <v>0</v>
      </c>
      <c r="BM76" s="50">
        <f t="shared" ref="BM76:BM77" si="67">SUM(BK76+BL76)</f>
        <v>0</v>
      </c>
      <c r="BN76" s="50" t="s">
        <v>250</v>
      </c>
      <c r="BO76" s="57" t="s">
        <v>250</v>
      </c>
      <c r="BQ76" s="50"/>
      <c r="BR76" s="59" t="s">
        <v>154</v>
      </c>
      <c r="BS76" s="1">
        <v>7</v>
      </c>
      <c r="BT76" s="56">
        <v>45497</v>
      </c>
      <c r="BU76" s="50">
        <v>0</v>
      </c>
      <c r="BV76" s="50">
        <v>0</v>
      </c>
      <c r="BW76" s="50">
        <f t="shared" ref="BW76" si="68">SUM(BU76+BV76)</f>
        <v>0</v>
      </c>
      <c r="BX76" s="50" t="s">
        <v>250</v>
      </c>
      <c r="BY76" s="50" t="s">
        <v>250</v>
      </c>
      <c r="CC76" s="77" t="s">
        <v>154</v>
      </c>
      <c r="CD76" s="78">
        <f t="shared" si="57"/>
        <v>2</v>
      </c>
    </row>
    <row r="77" spans="1:82" ht="14.4" x14ac:dyDescent="0.3">
      <c r="A77" s="50" t="s">
        <v>155</v>
      </c>
      <c r="B77" s="50" t="s">
        <v>84</v>
      </c>
      <c r="C77" s="68">
        <v>32.473010000000002</v>
      </c>
      <c r="D77" s="68">
        <v>-83.437389999999994</v>
      </c>
      <c r="E77" s="70">
        <v>45436</v>
      </c>
      <c r="F77" s="70">
        <v>45448</v>
      </c>
      <c r="G77" s="67">
        <v>45501</v>
      </c>
      <c r="H77" s="1" t="s">
        <v>25</v>
      </c>
      <c r="I77" s="1" t="s">
        <v>26</v>
      </c>
      <c r="J77" s="59" t="s">
        <v>155</v>
      </c>
      <c r="K77" s="6">
        <v>1</v>
      </c>
      <c r="L77" s="56">
        <f t="shared" si="46"/>
        <v>45455</v>
      </c>
      <c r="M77" s="50">
        <v>3</v>
      </c>
      <c r="N77" s="50">
        <v>2</v>
      </c>
      <c r="O77" s="50">
        <f t="shared" si="52"/>
        <v>5</v>
      </c>
      <c r="P77" s="50" t="s">
        <v>252</v>
      </c>
      <c r="Q77" s="57" t="s">
        <v>250</v>
      </c>
      <c r="T77" s="59" t="s">
        <v>155</v>
      </c>
      <c r="U77" s="6">
        <v>2</v>
      </c>
      <c r="V77" s="56">
        <v>45462</v>
      </c>
      <c r="W77" s="50">
        <v>3</v>
      </c>
      <c r="X77" s="50">
        <v>2</v>
      </c>
      <c r="Y77" s="50">
        <f t="shared" si="53"/>
        <v>5</v>
      </c>
      <c r="Z77" s="50" t="s">
        <v>252</v>
      </c>
      <c r="AA77" s="57" t="s">
        <v>250</v>
      </c>
      <c r="AC77" s="50"/>
      <c r="AD77" s="59" t="s">
        <v>155</v>
      </c>
      <c r="AE77" s="1">
        <v>3</v>
      </c>
      <c r="AF77" s="56">
        <v>45469</v>
      </c>
      <c r="AG77" s="50">
        <v>0</v>
      </c>
      <c r="AH77" s="50">
        <v>0</v>
      </c>
      <c r="AI77" s="50">
        <f t="shared" si="66"/>
        <v>0</v>
      </c>
      <c r="AJ77" s="50" t="s">
        <v>250</v>
      </c>
      <c r="AK77" s="57" t="s">
        <v>250</v>
      </c>
      <c r="AM77" s="50"/>
      <c r="AN77" s="59" t="s">
        <v>155</v>
      </c>
      <c r="AO77" s="1">
        <v>4</v>
      </c>
      <c r="AP77" s="56">
        <v>45476</v>
      </c>
      <c r="AQ77" s="50">
        <v>0</v>
      </c>
      <c r="AR77" s="50">
        <v>0</v>
      </c>
      <c r="AS77" s="50">
        <f t="shared" si="65"/>
        <v>0</v>
      </c>
      <c r="AT77" s="50" t="s">
        <v>250</v>
      </c>
      <c r="AU77" s="57" t="s">
        <v>250</v>
      </c>
      <c r="AW77" s="50"/>
      <c r="AX77" s="59" t="s">
        <v>155</v>
      </c>
      <c r="AY77" s="1">
        <v>5</v>
      </c>
      <c r="AZ77" s="56">
        <v>45483</v>
      </c>
      <c r="BA77" s="50">
        <v>9</v>
      </c>
      <c r="BB77" s="50">
        <v>13</v>
      </c>
      <c r="BC77" s="50">
        <f t="shared" si="56"/>
        <v>22</v>
      </c>
      <c r="BD77" s="50" t="s">
        <v>252</v>
      </c>
      <c r="BE77" s="57" t="s">
        <v>252</v>
      </c>
      <c r="BG77" s="50"/>
      <c r="BH77" s="59" t="s">
        <v>155</v>
      </c>
      <c r="BI77" s="1">
        <v>6</v>
      </c>
      <c r="BJ77" s="56">
        <v>45490</v>
      </c>
      <c r="BK77" s="50">
        <v>0</v>
      </c>
      <c r="BL77" s="50">
        <v>2</v>
      </c>
      <c r="BM77" s="50">
        <f t="shared" si="67"/>
        <v>2</v>
      </c>
      <c r="BN77" s="50" t="s">
        <v>252</v>
      </c>
      <c r="BO77" s="57" t="s">
        <v>250</v>
      </c>
      <c r="BQ77" s="50"/>
      <c r="BR77" s="59" t="s">
        <v>155</v>
      </c>
      <c r="BS77" s="1">
        <v>7</v>
      </c>
      <c r="BT77" s="56">
        <v>45497</v>
      </c>
      <c r="BU77" s="50">
        <v>6</v>
      </c>
      <c r="BV77" s="50">
        <v>9</v>
      </c>
      <c r="BW77" s="50">
        <f t="shared" ref="BW77" si="69">SUM(BU77+BV77)</f>
        <v>15</v>
      </c>
      <c r="BX77" s="50" t="s">
        <v>252</v>
      </c>
      <c r="BY77" s="50" t="s">
        <v>252</v>
      </c>
      <c r="CC77" s="77" t="s">
        <v>155</v>
      </c>
      <c r="CD77" s="78">
        <f t="shared" si="57"/>
        <v>49</v>
      </c>
    </row>
    <row r="78" spans="1:82" ht="14.4" x14ac:dyDescent="0.3">
      <c r="A78" s="50" t="s">
        <v>156</v>
      </c>
      <c r="B78" s="50" t="s">
        <v>277</v>
      </c>
      <c r="C78" s="68">
        <v>32.481670000000001</v>
      </c>
      <c r="D78" s="68">
        <v>-83.464529999999996</v>
      </c>
      <c r="E78" s="70">
        <v>45436</v>
      </c>
      <c r="F78" s="70">
        <v>45448</v>
      </c>
      <c r="G78" s="67">
        <v>45497</v>
      </c>
      <c r="H78" s="1" t="s">
        <v>25</v>
      </c>
      <c r="I78" s="1" t="s">
        <v>26</v>
      </c>
      <c r="J78" s="59" t="s">
        <v>156</v>
      </c>
      <c r="K78" s="6">
        <v>1</v>
      </c>
      <c r="L78" s="56">
        <f t="shared" si="46"/>
        <v>45455</v>
      </c>
      <c r="M78" s="50">
        <v>1</v>
      </c>
      <c r="N78" s="50">
        <v>1</v>
      </c>
      <c r="O78" s="50">
        <f t="shared" si="52"/>
        <v>2</v>
      </c>
      <c r="P78" s="50" t="s">
        <v>252</v>
      </c>
      <c r="Q78" s="57" t="s">
        <v>250</v>
      </c>
      <c r="T78" s="59" t="s">
        <v>156</v>
      </c>
      <c r="U78" s="6">
        <v>2</v>
      </c>
      <c r="V78" s="56">
        <v>45462</v>
      </c>
      <c r="W78" s="50">
        <v>1</v>
      </c>
      <c r="X78" s="50">
        <v>0</v>
      </c>
      <c r="Y78" s="50">
        <f t="shared" si="53"/>
        <v>1</v>
      </c>
      <c r="Z78" s="50" t="s">
        <v>252</v>
      </c>
      <c r="AA78" s="57" t="s">
        <v>250</v>
      </c>
      <c r="AC78" s="50"/>
      <c r="AD78" s="59" t="s">
        <v>156</v>
      </c>
      <c r="AE78" s="1">
        <v>3</v>
      </c>
      <c r="AF78" s="56">
        <v>45469</v>
      </c>
      <c r="AG78" s="50">
        <v>6</v>
      </c>
      <c r="AH78" s="50">
        <v>7</v>
      </c>
      <c r="AI78" s="50">
        <f t="shared" si="63"/>
        <v>13</v>
      </c>
      <c r="AJ78" s="50" t="s">
        <v>252</v>
      </c>
      <c r="AK78" s="57" t="s">
        <v>250</v>
      </c>
      <c r="AM78" s="50"/>
      <c r="AN78" s="59" t="s">
        <v>156</v>
      </c>
      <c r="AO78" s="1">
        <v>4</v>
      </c>
      <c r="AP78" s="56">
        <v>45476</v>
      </c>
      <c r="AQ78" s="50">
        <v>3</v>
      </c>
      <c r="AR78" s="50">
        <v>6</v>
      </c>
      <c r="AS78" s="50">
        <f t="shared" si="60"/>
        <v>9</v>
      </c>
      <c r="AT78" s="50" t="s">
        <v>252</v>
      </c>
      <c r="AU78" s="57" t="s">
        <v>250</v>
      </c>
      <c r="AW78" s="50"/>
      <c r="AX78" s="59" t="s">
        <v>156</v>
      </c>
      <c r="AY78" s="1">
        <v>5</v>
      </c>
      <c r="AZ78" s="56">
        <v>45483</v>
      </c>
      <c r="BA78" s="50">
        <v>13</v>
      </c>
      <c r="BB78" s="50">
        <v>3</v>
      </c>
      <c r="BC78" s="50">
        <f t="shared" ref="BC78" si="70">SUM(BA78+BB78)</f>
        <v>16</v>
      </c>
      <c r="BD78" s="50" t="s">
        <v>252</v>
      </c>
      <c r="BE78" s="57" t="s">
        <v>250</v>
      </c>
      <c r="BG78" s="50" t="s">
        <v>296</v>
      </c>
      <c r="BH78" s="59" t="s">
        <v>156</v>
      </c>
      <c r="BI78" s="1">
        <v>6</v>
      </c>
      <c r="BJ78" s="56">
        <v>45490</v>
      </c>
      <c r="BK78" s="50">
        <v>0</v>
      </c>
      <c r="BL78" s="50">
        <v>0</v>
      </c>
      <c r="BM78" s="50">
        <f t="shared" ref="BM78" si="71">SUM(BK78+BL78)</f>
        <v>0</v>
      </c>
      <c r="BN78" s="50" t="s">
        <v>250</v>
      </c>
      <c r="BO78" s="57" t="s">
        <v>250</v>
      </c>
      <c r="BQ78" s="50"/>
      <c r="BR78" s="59" t="s">
        <v>156</v>
      </c>
      <c r="BS78" s="1">
        <v>7</v>
      </c>
      <c r="BT78" s="56">
        <v>45497</v>
      </c>
      <c r="BU78" s="50">
        <v>8</v>
      </c>
      <c r="BV78" s="50">
        <v>8</v>
      </c>
      <c r="BW78" s="50">
        <f t="shared" ref="BW78:BW129" si="72">SUM(BU78+BV78)</f>
        <v>16</v>
      </c>
      <c r="BX78" s="50" t="s">
        <v>252</v>
      </c>
      <c r="BY78" s="50" t="s">
        <v>250</v>
      </c>
      <c r="CC78" s="77" t="s">
        <v>156</v>
      </c>
      <c r="CD78" s="78">
        <f t="shared" si="57"/>
        <v>57</v>
      </c>
    </row>
    <row r="79" spans="1:82" ht="14.4" x14ac:dyDescent="0.3">
      <c r="A79" s="85" t="s">
        <v>158</v>
      </c>
      <c r="B79" s="85" t="s">
        <v>277</v>
      </c>
      <c r="C79" s="86">
        <v>32.487430000000003</v>
      </c>
      <c r="D79" s="86">
        <v>-83.453779999999995</v>
      </c>
      <c r="E79" s="87"/>
      <c r="F79" s="87"/>
      <c r="G79" s="88"/>
      <c r="H79" s="89" t="s">
        <v>25</v>
      </c>
      <c r="I79" s="89" t="s">
        <v>26</v>
      </c>
      <c r="J79" s="90" t="s">
        <v>158</v>
      </c>
      <c r="K79" s="91">
        <v>1</v>
      </c>
      <c r="L79" s="92"/>
      <c r="M79" s="85"/>
      <c r="N79" s="85"/>
      <c r="O79" s="85">
        <f t="shared" si="52"/>
        <v>0</v>
      </c>
      <c r="P79" s="85"/>
      <c r="Q79" s="93"/>
      <c r="R79" s="93"/>
      <c r="S79" s="85"/>
      <c r="T79" s="90" t="s">
        <v>158</v>
      </c>
      <c r="U79" s="91">
        <v>2</v>
      </c>
      <c r="V79" s="92"/>
      <c r="W79" s="85"/>
      <c r="X79" s="85"/>
      <c r="Y79" s="85">
        <f t="shared" si="53"/>
        <v>0</v>
      </c>
      <c r="Z79" s="85"/>
      <c r="AA79" s="93"/>
      <c r="AB79" s="85"/>
      <c r="AC79" s="85"/>
      <c r="AD79" s="90" t="s">
        <v>158</v>
      </c>
      <c r="AE79" s="89">
        <v>3</v>
      </c>
      <c r="AF79" s="92"/>
      <c r="AG79" s="85"/>
      <c r="AH79" s="85"/>
      <c r="AI79" s="85">
        <f t="shared" si="63"/>
        <v>0</v>
      </c>
      <c r="AJ79" s="85"/>
      <c r="AK79" s="93"/>
      <c r="AL79" s="85"/>
      <c r="AM79" s="85"/>
      <c r="AN79" s="90" t="s">
        <v>158</v>
      </c>
      <c r="AO79" s="89">
        <v>4</v>
      </c>
      <c r="AP79" s="92"/>
      <c r="AQ79" s="85"/>
      <c r="AR79" s="85"/>
      <c r="AS79" s="85">
        <f t="shared" si="60"/>
        <v>0</v>
      </c>
      <c r="AT79" s="85"/>
      <c r="AU79" s="93"/>
      <c r="AV79" s="85"/>
      <c r="AW79" s="85"/>
      <c r="AX79" s="90" t="s">
        <v>158</v>
      </c>
      <c r="AY79" s="89">
        <v>5</v>
      </c>
      <c r="AZ79" s="92"/>
      <c r="BA79" s="85"/>
      <c r="BB79" s="85"/>
      <c r="BC79" s="85">
        <f t="shared" si="56"/>
        <v>0</v>
      </c>
      <c r="BD79" s="85"/>
      <c r="BE79" s="93"/>
      <c r="BF79" s="85"/>
      <c r="BG79" s="85"/>
      <c r="BH79" s="90" t="s">
        <v>158</v>
      </c>
      <c r="BI79" s="89">
        <v>6</v>
      </c>
      <c r="BJ79" s="92"/>
      <c r="BK79" s="85"/>
      <c r="BL79" s="85"/>
      <c r="BM79" s="85">
        <f t="shared" ref="BM79:BM129" si="73">SUM(BK79+BL79)</f>
        <v>0</v>
      </c>
      <c r="BN79" s="85"/>
      <c r="BO79" s="93"/>
      <c r="BP79" s="85"/>
      <c r="BQ79" s="85"/>
      <c r="BR79" s="90" t="s">
        <v>158</v>
      </c>
      <c r="BS79" s="89">
        <v>7</v>
      </c>
      <c r="BT79" s="92"/>
      <c r="BU79" s="85"/>
      <c r="BV79" s="85"/>
      <c r="BW79" s="85">
        <f t="shared" si="72"/>
        <v>0</v>
      </c>
      <c r="BX79" s="85"/>
      <c r="BY79" s="85"/>
      <c r="BZ79" s="85"/>
      <c r="CA79" s="94"/>
      <c r="CC79" s="98" t="s">
        <v>158</v>
      </c>
      <c r="CD79" s="99">
        <f t="shared" ref="CD79:CD130" si="74">SUM(O79+Y79+AI79+AS79+BC79+BM79+BW79)</f>
        <v>0</v>
      </c>
    </row>
    <row r="80" spans="1:82" ht="14.4" x14ac:dyDescent="0.3">
      <c r="A80" s="50" t="s">
        <v>159</v>
      </c>
      <c r="B80" s="50" t="s">
        <v>84</v>
      </c>
      <c r="C80" s="68">
        <v>32.490810000000003</v>
      </c>
      <c r="D80" s="68">
        <v>-83.435609999999997</v>
      </c>
      <c r="E80" s="70">
        <v>45436</v>
      </c>
      <c r="F80" s="70">
        <v>45448</v>
      </c>
      <c r="G80" s="67">
        <v>45501</v>
      </c>
      <c r="H80" s="1" t="s">
        <v>25</v>
      </c>
      <c r="I80" s="1" t="s">
        <v>26</v>
      </c>
      <c r="J80" s="59" t="s">
        <v>159</v>
      </c>
      <c r="K80" s="6">
        <v>1</v>
      </c>
      <c r="L80" s="56">
        <v>45455</v>
      </c>
      <c r="M80" s="50">
        <v>0</v>
      </c>
      <c r="N80" s="50">
        <v>0</v>
      </c>
      <c r="O80" s="50">
        <f t="shared" si="52"/>
        <v>0</v>
      </c>
      <c r="P80" s="50" t="s">
        <v>250</v>
      </c>
      <c r="Q80" s="57" t="s">
        <v>250</v>
      </c>
      <c r="T80" s="59" t="s">
        <v>159</v>
      </c>
      <c r="U80" s="6">
        <v>2</v>
      </c>
      <c r="V80" s="56">
        <v>45462</v>
      </c>
      <c r="W80" s="50">
        <v>2</v>
      </c>
      <c r="X80" s="50">
        <v>10</v>
      </c>
      <c r="Y80" s="50">
        <f t="shared" si="53"/>
        <v>12</v>
      </c>
      <c r="Z80" s="50" t="s">
        <v>252</v>
      </c>
      <c r="AA80" s="57" t="s">
        <v>250</v>
      </c>
      <c r="AC80" s="50"/>
      <c r="AD80" s="59" t="s">
        <v>159</v>
      </c>
      <c r="AE80" s="1">
        <v>3</v>
      </c>
      <c r="AF80" s="56">
        <v>45469</v>
      </c>
      <c r="AG80" s="50">
        <v>0</v>
      </c>
      <c r="AH80" s="50">
        <v>7</v>
      </c>
      <c r="AI80" s="50">
        <f t="shared" si="63"/>
        <v>7</v>
      </c>
      <c r="AJ80" s="50" t="s">
        <v>252</v>
      </c>
      <c r="AK80" s="57" t="s">
        <v>250</v>
      </c>
      <c r="AM80" s="50"/>
      <c r="AN80" s="59" t="s">
        <v>159</v>
      </c>
      <c r="AO80" s="1">
        <v>4</v>
      </c>
      <c r="AP80" s="56">
        <v>45476</v>
      </c>
      <c r="AQ80" s="50">
        <v>0</v>
      </c>
      <c r="AR80" s="50">
        <v>0</v>
      </c>
      <c r="AS80" s="50">
        <f t="shared" si="60"/>
        <v>0</v>
      </c>
      <c r="AT80" s="50" t="s">
        <v>250</v>
      </c>
      <c r="AU80" s="57" t="s">
        <v>250</v>
      </c>
      <c r="AW80" s="50"/>
      <c r="AX80" s="59" t="s">
        <v>159</v>
      </c>
      <c r="AY80" s="1">
        <v>5</v>
      </c>
      <c r="AZ80" s="56">
        <v>45483</v>
      </c>
      <c r="BA80" s="50">
        <v>0</v>
      </c>
      <c r="BB80" s="50">
        <v>0</v>
      </c>
      <c r="BC80" s="50">
        <f t="shared" si="56"/>
        <v>0</v>
      </c>
      <c r="BD80" s="50" t="s">
        <v>250</v>
      </c>
      <c r="BE80" s="57" t="s">
        <v>250</v>
      </c>
      <c r="BG80" s="50"/>
      <c r="BH80" s="59" t="s">
        <v>159</v>
      </c>
      <c r="BI80" s="1">
        <v>6</v>
      </c>
      <c r="BJ80" s="56">
        <v>45490</v>
      </c>
      <c r="BK80" s="50">
        <v>3</v>
      </c>
      <c r="BL80" s="50">
        <v>1</v>
      </c>
      <c r="BM80" s="50">
        <f t="shared" si="73"/>
        <v>4</v>
      </c>
      <c r="BN80" s="50" t="s">
        <v>252</v>
      </c>
      <c r="BO80" s="57" t="s">
        <v>250</v>
      </c>
      <c r="BQ80" s="50"/>
      <c r="BR80" s="59" t="s">
        <v>159</v>
      </c>
      <c r="BS80" s="1">
        <v>7</v>
      </c>
      <c r="BT80" s="56">
        <v>45497</v>
      </c>
      <c r="BU80" s="50">
        <v>0</v>
      </c>
      <c r="BV80" s="50">
        <v>1</v>
      </c>
      <c r="BW80" s="50">
        <f t="shared" si="72"/>
        <v>1</v>
      </c>
      <c r="BX80" s="50" t="s">
        <v>252</v>
      </c>
      <c r="BY80" s="50" t="s">
        <v>250</v>
      </c>
      <c r="CC80" s="77" t="s">
        <v>159</v>
      </c>
      <c r="CD80" s="78">
        <f t="shared" si="74"/>
        <v>24</v>
      </c>
    </row>
    <row r="81" spans="1:82" ht="14.4" x14ac:dyDescent="0.3">
      <c r="A81" s="50" t="s">
        <v>160</v>
      </c>
      <c r="B81" s="50" t="s">
        <v>53</v>
      </c>
      <c r="C81" s="68">
        <v>32.421610000000001</v>
      </c>
      <c r="D81" s="68">
        <v>-83.434709999999995</v>
      </c>
      <c r="E81" s="70">
        <v>45434</v>
      </c>
      <c r="F81" s="70">
        <v>45448</v>
      </c>
      <c r="G81" s="67">
        <v>45502</v>
      </c>
      <c r="H81" s="1" t="s">
        <v>25</v>
      </c>
      <c r="I81" s="1" t="s">
        <v>26</v>
      </c>
      <c r="J81" s="59" t="s">
        <v>160</v>
      </c>
      <c r="K81" s="6">
        <v>1</v>
      </c>
      <c r="L81" s="56">
        <v>45455</v>
      </c>
      <c r="M81" s="50">
        <v>6</v>
      </c>
      <c r="N81" s="50">
        <v>5</v>
      </c>
      <c r="O81" s="50">
        <f t="shared" si="52"/>
        <v>11</v>
      </c>
      <c r="P81" s="50" t="s">
        <v>252</v>
      </c>
      <c r="Q81" s="57" t="s">
        <v>250</v>
      </c>
      <c r="T81" s="59" t="s">
        <v>160</v>
      </c>
      <c r="U81" s="6">
        <v>2</v>
      </c>
      <c r="V81" s="56">
        <v>45462</v>
      </c>
      <c r="W81" s="50">
        <v>6</v>
      </c>
      <c r="X81" s="50">
        <v>5</v>
      </c>
      <c r="Y81" s="50">
        <f t="shared" si="53"/>
        <v>11</v>
      </c>
      <c r="Z81" s="50" t="s">
        <v>252</v>
      </c>
      <c r="AA81" s="57" t="s">
        <v>250</v>
      </c>
      <c r="AC81" s="50"/>
      <c r="AD81" s="59" t="s">
        <v>160</v>
      </c>
      <c r="AE81" s="1">
        <v>3</v>
      </c>
      <c r="AF81" s="56">
        <v>45469</v>
      </c>
      <c r="AG81" s="50">
        <v>0</v>
      </c>
      <c r="AH81" s="50">
        <v>0</v>
      </c>
      <c r="AI81" s="50">
        <f t="shared" si="63"/>
        <v>0</v>
      </c>
      <c r="AJ81" s="50" t="s">
        <v>250</v>
      </c>
      <c r="AK81" s="57" t="s">
        <v>250</v>
      </c>
      <c r="AM81" s="50"/>
      <c r="AN81" s="59" t="s">
        <v>160</v>
      </c>
      <c r="AO81" s="1">
        <v>4</v>
      </c>
      <c r="AP81" s="56">
        <v>45476</v>
      </c>
      <c r="AQ81" s="50">
        <v>0</v>
      </c>
      <c r="AR81" s="50">
        <v>0</v>
      </c>
      <c r="AS81" s="50">
        <f t="shared" si="60"/>
        <v>0</v>
      </c>
      <c r="AT81" s="50" t="s">
        <v>250</v>
      </c>
      <c r="AU81" s="57" t="s">
        <v>250</v>
      </c>
      <c r="AW81" s="50"/>
      <c r="AX81" s="59" t="s">
        <v>160</v>
      </c>
      <c r="AY81" s="1">
        <v>5</v>
      </c>
      <c r="AZ81" s="56">
        <v>45483</v>
      </c>
      <c r="BA81" s="50">
        <v>0</v>
      </c>
      <c r="BB81" s="50">
        <v>0</v>
      </c>
      <c r="BC81" s="50">
        <f t="shared" ref="BC81" si="75">SUM(BA81+BB81)</f>
        <v>0</v>
      </c>
      <c r="BD81" s="50" t="s">
        <v>250</v>
      </c>
      <c r="BE81" s="57" t="s">
        <v>250</v>
      </c>
      <c r="BG81" s="50"/>
      <c r="BH81" s="59" t="s">
        <v>160</v>
      </c>
      <c r="BI81" s="1">
        <v>6</v>
      </c>
      <c r="BJ81" s="56">
        <v>45490</v>
      </c>
      <c r="BK81" s="50">
        <v>0</v>
      </c>
      <c r="BL81" s="50">
        <v>0</v>
      </c>
      <c r="BM81" s="50">
        <f t="shared" si="73"/>
        <v>0</v>
      </c>
      <c r="BN81" s="50" t="s">
        <v>250</v>
      </c>
      <c r="BO81" s="57" t="s">
        <v>250</v>
      </c>
      <c r="BQ81" s="50"/>
      <c r="BR81" s="59" t="s">
        <v>160</v>
      </c>
      <c r="BS81" s="1">
        <v>7</v>
      </c>
      <c r="BT81" s="56">
        <v>45497</v>
      </c>
      <c r="BU81" s="50">
        <v>0</v>
      </c>
      <c r="BV81" s="50">
        <v>0</v>
      </c>
      <c r="BW81" s="50">
        <f t="shared" si="72"/>
        <v>0</v>
      </c>
      <c r="BX81" s="50" t="s">
        <v>250</v>
      </c>
      <c r="BY81" s="50" t="s">
        <v>250</v>
      </c>
      <c r="CC81" s="77" t="s">
        <v>160</v>
      </c>
      <c r="CD81" s="78">
        <f t="shared" si="74"/>
        <v>22</v>
      </c>
    </row>
    <row r="82" spans="1:82" ht="14.4" x14ac:dyDescent="0.3">
      <c r="A82" s="85" t="s">
        <v>162</v>
      </c>
      <c r="B82" s="85" t="s">
        <v>163</v>
      </c>
      <c r="C82" s="86"/>
      <c r="D82" s="86"/>
      <c r="E82" s="87"/>
      <c r="F82" s="87"/>
      <c r="G82" s="88"/>
      <c r="H82" s="89" t="s">
        <v>25</v>
      </c>
      <c r="I82" s="89" t="s">
        <v>26</v>
      </c>
      <c r="J82" s="90" t="s">
        <v>162</v>
      </c>
      <c r="K82" s="91">
        <v>1</v>
      </c>
      <c r="L82" s="92"/>
      <c r="M82" s="85"/>
      <c r="N82" s="85"/>
      <c r="O82" s="85">
        <f t="shared" si="52"/>
        <v>0</v>
      </c>
      <c r="P82" s="85"/>
      <c r="Q82" s="93"/>
      <c r="R82" s="93"/>
      <c r="S82" s="85"/>
      <c r="T82" s="90" t="s">
        <v>162</v>
      </c>
      <c r="U82" s="91">
        <v>2</v>
      </c>
      <c r="V82" s="92"/>
      <c r="W82" s="85"/>
      <c r="X82" s="85"/>
      <c r="Y82" s="85">
        <f t="shared" si="53"/>
        <v>0</v>
      </c>
      <c r="Z82" s="85"/>
      <c r="AA82" s="93"/>
      <c r="AB82" s="85"/>
      <c r="AC82" s="85"/>
      <c r="AD82" s="90" t="s">
        <v>162</v>
      </c>
      <c r="AE82" s="89">
        <v>3</v>
      </c>
      <c r="AF82" s="92"/>
      <c r="AG82" s="85"/>
      <c r="AH82" s="85"/>
      <c r="AI82" s="85">
        <f t="shared" si="63"/>
        <v>0</v>
      </c>
      <c r="AJ82" s="85"/>
      <c r="AK82" s="93"/>
      <c r="AL82" s="85"/>
      <c r="AM82" s="85"/>
      <c r="AN82" s="90" t="s">
        <v>162</v>
      </c>
      <c r="AO82" s="89">
        <v>4</v>
      </c>
      <c r="AP82" s="92"/>
      <c r="AQ82" s="85"/>
      <c r="AR82" s="85"/>
      <c r="AS82" s="85">
        <f t="shared" si="60"/>
        <v>0</v>
      </c>
      <c r="AT82" s="85"/>
      <c r="AU82" s="93"/>
      <c r="AV82" s="85"/>
      <c r="AW82" s="85"/>
      <c r="AX82" s="90" t="s">
        <v>162</v>
      </c>
      <c r="AY82" s="89">
        <v>5</v>
      </c>
      <c r="AZ82" s="85"/>
      <c r="BA82" s="85"/>
      <c r="BB82" s="85"/>
      <c r="BC82" s="85">
        <f t="shared" si="56"/>
        <v>0</v>
      </c>
      <c r="BD82" s="85"/>
      <c r="BE82" s="93"/>
      <c r="BF82" s="85"/>
      <c r="BG82" s="85"/>
      <c r="BH82" s="90" t="s">
        <v>162</v>
      </c>
      <c r="BI82" s="89">
        <v>6</v>
      </c>
      <c r="BJ82" s="85"/>
      <c r="BK82" s="85"/>
      <c r="BL82" s="85"/>
      <c r="BM82" s="85">
        <f t="shared" si="73"/>
        <v>0</v>
      </c>
      <c r="BN82" s="85"/>
      <c r="BO82" s="93"/>
      <c r="BP82" s="85"/>
      <c r="BQ82" s="85"/>
      <c r="BR82" s="90" t="s">
        <v>162</v>
      </c>
      <c r="BS82" s="89">
        <v>7</v>
      </c>
      <c r="BT82" s="92"/>
      <c r="BU82" s="85"/>
      <c r="BV82" s="85"/>
      <c r="BW82" s="85">
        <f t="shared" si="72"/>
        <v>0</v>
      </c>
      <c r="BX82" s="85"/>
      <c r="BY82" s="85"/>
      <c r="BZ82" s="85"/>
      <c r="CA82" s="94"/>
      <c r="CC82" s="96" t="s">
        <v>162</v>
      </c>
      <c r="CD82" s="97">
        <f t="shared" si="74"/>
        <v>0</v>
      </c>
    </row>
    <row r="83" spans="1:82" ht="14.4" x14ac:dyDescent="0.3">
      <c r="A83" s="50" t="s">
        <v>164</v>
      </c>
      <c r="B83" s="50" t="s">
        <v>96</v>
      </c>
      <c r="C83" s="68">
        <v>32.446199999999997</v>
      </c>
      <c r="D83" s="68">
        <v>-83.433790000000002</v>
      </c>
      <c r="E83" s="70">
        <v>45434</v>
      </c>
      <c r="F83" s="70">
        <v>45448</v>
      </c>
      <c r="G83" s="67">
        <v>45497</v>
      </c>
      <c r="H83" s="1" t="s">
        <v>25</v>
      </c>
      <c r="I83" s="1" t="s">
        <v>26</v>
      </c>
      <c r="J83" s="59" t="s">
        <v>164</v>
      </c>
      <c r="K83" s="6">
        <v>1</v>
      </c>
      <c r="L83" s="56">
        <v>45455</v>
      </c>
      <c r="M83" s="50">
        <v>0</v>
      </c>
      <c r="N83" s="50">
        <v>0</v>
      </c>
      <c r="O83" s="50">
        <f t="shared" si="52"/>
        <v>0</v>
      </c>
      <c r="P83" s="50" t="s">
        <v>250</v>
      </c>
      <c r="Q83" s="57" t="s">
        <v>250</v>
      </c>
      <c r="T83" s="59" t="s">
        <v>164</v>
      </c>
      <c r="U83" s="6">
        <v>2</v>
      </c>
      <c r="V83" s="56">
        <v>45462</v>
      </c>
      <c r="W83" s="50">
        <v>0</v>
      </c>
      <c r="X83" s="50">
        <v>4</v>
      </c>
      <c r="Y83" s="50">
        <f t="shared" si="53"/>
        <v>4</v>
      </c>
      <c r="Z83" s="50" t="s">
        <v>252</v>
      </c>
      <c r="AA83" s="57" t="s">
        <v>250</v>
      </c>
      <c r="AC83" s="50"/>
      <c r="AD83" s="59" t="s">
        <v>164</v>
      </c>
      <c r="AE83" s="1">
        <v>3</v>
      </c>
      <c r="AF83" s="56">
        <v>45469</v>
      </c>
      <c r="AG83" s="50">
        <v>0</v>
      </c>
      <c r="AH83" s="50">
        <v>0</v>
      </c>
      <c r="AI83" s="50">
        <f t="shared" si="63"/>
        <v>0</v>
      </c>
      <c r="AJ83" s="50" t="s">
        <v>250</v>
      </c>
      <c r="AK83" s="57" t="s">
        <v>250</v>
      </c>
      <c r="AM83" s="50"/>
      <c r="AN83" s="59" t="s">
        <v>164</v>
      </c>
      <c r="AO83" s="1">
        <v>4</v>
      </c>
      <c r="AP83" s="56">
        <v>45476</v>
      </c>
      <c r="AQ83" s="50">
        <v>0</v>
      </c>
      <c r="AR83" s="50">
        <v>0</v>
      </c>
      <c r="AS83" s="50">
        <f t="shared" si="60"/>
        <v>0</v>
      </c>
      <c r="AT83" s="50" t="s">
        <v>250</v>
      </c>
      <c r="AU83" s="57" t="s">
        <v>250</v>
      </c>
      <c r="AW83" s="50"/>
      <c r="AX83" s="59" t="s">
        <v>164</v>
      </c>
      <c r="AY83" s="1">
        <v>5</v>
      </c>
      <c r="AZ83" s="56">
        <v>45483</v>
      </c>
      <c r="BA83" s="50">
        <v>0</v>
      </c>
      <c r="BB83" s="50">
        <v>0</v>
      </c>
      <c r="BC83" s="50">
        <f t="shared" ref="BC83:BC86" si="76">SUM(BA83+BB83)</f>
        <v>0</v>
      </c>
      <c r="BD83" s="50" t="s">
        <v>250</v>
      </c>
      <c r="BE83" s="57" t="s">
        <v>250</v>
      </c>
      <c r="BG83" s="50"/>
      <c r="BH83" s="59" t="s">
        <v>164</v>
      </c>
      <c r="BI83" s="1">
        <v>6</v>
      </c>
      <c r="BJ83" s="56">
        <v>45490</v>
      </c>
      <c r="BK83" s="50">
        <v>2</v>
      </c>
      <c r="BL83" s="50">
        <v>7</v>
      </c>
      <c r="BM83" s="50">
        <f t="shared" si="73"/>
        <v>9</v>
      </c>
      <c r="BN83" s="50" t="s">
        <v>252</v>
      </c>
      <c r="BO83" s="57" t="s">
        <v>250</v>
      </c>
      <c r="BQ83" s="50"/>
      <c r="BR83" s="59" t="s">
        <v>164</v>
      </c>
      <c r="BS83" s="1">
        <v>7</v>
      </c>
      <c r="BT83" s="56">
        <v>45497</v>
      </c>
      <c r="BU83" s="50">
        <v>0</v>
      </c>
      <c r="BV83" s="50">
        <v>0</v>
      </c>
      <c r="BW83" s="50">
        <f t="shared" ref="BW83:BW86" si="77">SUM(BU83+BV83)</f>
        <v>0</v>
      </c>
      <c r="BX83" s="50" t="s">
        <v>250</v>
      </c>
      <c r="BY83" s="50" t="s">
        <v>250</v>
      </c>
      <c r="CC83" s="75" t="s">
        <v>164</v>
      </c>
      <c r="CD83" s="76">
        <f t="shared" si="74"/>
        <v>13</v>
      </c>
    </row>
    <row r="84" spans="1:82" ht="14.4" x14ac:dyDescent="0.3">
      <c r="A84" s="50" t="s">
        <v>165</v>
      </c>
      <c r="B84" s="50" t="s">
        <v>66</v>
      </c>
      <c r="C84" s="68">
        <v>32.48451</v>
      </c>
      <c r="D84" s="68">
        <v>-83.484620000000007</v>
      </c>
      <c r="E84" s="70">
        <v>45435</v>
      </c>
      <c r="F84" s="70">
        <v>45448</v>
      </c>
      <c r="G84" s="67">
        <v>45497</v>
      </c>
      <c r="H84" s="1" t="s">
        <v>25</v>
      </c>
      <c r="I84" s="1" t="s">
        <v>26</v>
      </c>
      <c r="J84" s="59" t="s">
        <v>165</v>
      </c>
      <c r="K84" s="6">
        <v>1</v>
      </c>
      <c r="L84" s="56">
        <v>45455</v>
      </c>
      <c r="M84" s="50">
        <v>0</v>
      </c>
      <c r="N84" s="50">
        <v>0</v>
      </c>
      <c r="O84" s="50">
        <f t="shared" si="52"/>
        <v>0</v>
      </c>
      <c r="P84" s="50" t="s">
        <v>250</v>
      </c>
      <c r="Q84" s="57" t="s">
        <v>250</v>
      </c>
      <c r="T84" s="59" t="s">
        <v>165</v>
      </c>
      <c r="U84" s="6">
        <v>2</v>
      </c>
      <c r="V84" s="56">
        <v>45462</v>
      </c>
      <c r="W84" s="50">
        <v>4</v>
      </c>
      <c r="X84" s="50">
        <v>5</v>
      </c>
      <c r="Y84" s="50">
        <f t="shared" si="53"/>
        <v>9</v>
      </c>
      <c r="Z84" s="50" t="s">
        <v>252</v>
      </c>
      <c r="AA84" s="57" t="s">
        <v>250</v>
      </c>
      <c r="AC84" s="50"/>
      <c r="AD84" s="59" t="s">
        <v>165</v>
      </c>
      <c r="AE84" s="1">
        <v>3</v>
      </c>
      <c r="AF84" s="56">
        <v>45469</v>
      </c>
      <c r="AG84" s="50">
        <v>8</v>
      </c>
      <c r="AH84" s="50">
        <v>11</v>
      </c>
      <c r="AI84" s="50">
        <f t="shared" si="63"/>
        <v>19</v>
      </c>
      <c r="AJ84" s="50" t="s">
        <v>252</v>
      </c>
      <c r="AK84" s="57" t="s">
        <v>250</v>
      </c>
      <c r="AM84" s="50"/>
      <c r="AN84" s="59" t="s">
        <v>165</v>
      </c>
      <c r="AO84" s="1">
        <v>4</v>
      </c>
      <c r="AP84" s="56">
        <v>45476</v>
      </c>
      <c r="AQ84" s="50">
        <v>1</v>
      </c>
      <c r="AR84" s="50">
        <v>0</v>
      </c>
      <c r="AS84" s="50">
        <f t="shared" si="60"/>
        <v>1</v>
      </c>
      <c r="AT84" s="50" t="s">
        <v>261</v>
      </c>
      <c r="AU84" s="57" t="s">
        <v>250</v>
      </c>
      <c r="AW84" s="50"/>
      <c r="AX84" s="59" t="s">
        <v>165</v>
      </c>
      <c r="AY84" s="1">
        <v>5</v>
      </c>
      <c r="AZ84" s="56">
        <v>45483</v>
      </c>
      <c r="BA84" s="50">
        <v>0</v>
      </c>
      <c r="BB84" s="50">
        <v>0</v>
      </c>
      <c r="BC84" s="50">
        <f t="shared" si="76"/>
        <v>0</v>
      </c>
      <c r="BD84" s="50" t="s">
        <v>250</v>
      </c>
      <c r="BE84" s="57" t="s">
        <v>250</v>
      </c>
      <c r="BG84" s="50"/>
      <c r="BH84" s="59" t="s">
        <v>165</v>
      </c>
      <c r="BI84" s="1">
        <v>6</v>
      </c>
      <c r="BJ84" s="56">
        <v>45490</v>
      </c>
      <c r="BK84" s="50">
        <v>0</v>
      </c>
      <c r="BL84" s="50">
        <v>2</v>
      </c>
      <c r="BM84" s="50">
        <f t="shared" si="73"/>
        <v>2</v>
      </c>
      <c r="BN84" s="50" t="s">
        <v>252</v>
      </c>
      <c r="BO84" s="57" t="s">
        <v>250</v>
      </c>
      <c r="BQ84" s="50"/>
      <c r="BR84" s="59" t="s">
        <v>165</v>
      </c>
      <c r="BS84" s="1">
        <v>7</v>
      </c>
      <c r="BT84" s="56">
        <v>45497</v>
      </c>
      <c r="BU84" s="50">
        <v>0</v>
      </c>
      <c r="BV84" s="50">
        <v>2</v>
      </c>
      <c r="BW84" s="50">
        <f t="shared" si="77"/>
        <v>2</v>
      </c>
      <c r="BX84" s="50" t="s">
        <v>252</v>
      </c>
      <c r="BY84" s="50" t="s">
        <v>250</v>
      </c>
      <c r="CC84" s="75" t="s">
        <v>165</v>
      </c>
      <c r="CD84" s="76">
        <f t="shared" si="74"/>
        <v>33</v>
      </c>
    </row>
    <row r="85" spans="1:82" ht="14.4" x14ac:dyDescent="0.3">
      <c r="A85" s="50" t="s">
        <v>166</v>
      </c>
      <c r="B85" s="50" t="s">
        <v>96</v>
      </c>
      <c r="C85" s="68">
        <v>32.490720000000003</v>
      </c>
      <c r="D85" s="68">
        <v>-83.477999999999994</v>
      </c>
      <c r="E85" s="70">
        <v>45435</v>
      </c>
      <c r="F85" s="70">
        <v>45448</v>
      </c>
      <c r="G85" s="67">
        <v>45501</v>
      </c>
      <c r="H85" s="1" t="s">
        <v>25</v>
      </c>
      <c r="I85" s="1" t="s">
        <v>26</v>
      </c>
      <c r="J85" s="59" t="s">
        <v>166</v>
      </c>
      <c r="K85" s="6">
        <v>1</v>
      </c>
      <c r="L85" s="56">
        <v>45455</v>
      </c>
      <c r="M85" s="50">
        <v>5</v>
      </c>
      <c r="N85" s="50">
        <v>0</v>
      </c>
      <c r="O85" s="50">
        <f t="shared" si="52"/>
        <v>5</v>
      </c>
      <c r="P85" s="50" t="s">
        <v>252</v>
      </c>
      <c r="Q85" s="57" t="s">
        <v>252</v>
      </c>
      <c r="T85" s="59" t="s">
        <v>166</v>
      </c>
      <c r="U85" s="6">
        <v>2</v>
      </c>
      <c r="V85" s="56">
        <v>45462</v>
      </c>
      <c r="W85" s="50">
        <v>7</v>
      </c>
      <c r="X85" s="50">
        <v>3</v>
      </c>
      <c r="Y85" s="50">
        <f t="shared" si="53"/>
        <v>10</v>
      </c>
      <c r="Z85" s="50" t="s">
        <v>252</v>
      </c>
      <c r="AA85" s="57" t="s">
        <v>250</v>
      </c>
      <c r="AC85" s="50"/>
      <c r="AD85" s="59" t="s">
        <v>166</v>
      </c>
      <c r="AE85" s="1">
        <v>3</v>
      </c>
      <c r="AF85" s="56">
        <v>45469</v>
      </c>
      <c r="AG85" s="50">
        <v>5</v>
      </c>
      <c r="AH85" s="50">
        <v>1</v>
      </c>
      <c r="AI85" s="50">
        <f t="shared" si="63"/>
        <v>6</v>
      </c>
      <c r="AJ85" s="50" t="s">
        <v>252</v>
      </c>
      <c r="AK85" s="57" t="s">
        <v>250</v>
      </c>
      <c r="AM85" s="50"/>
      <c r="AN85" s="59" t="s">
        <v>166</v>
      </c>
      <c r="AO85" s="1">
        <v>4</v>
      </c>
      <c r="AP85" s="56">
        <v>45476</v>
      </c>
      <c r="AQ85" s="50">
        <v>0</v>
      </c>
      <c r="AR85" s="50">
        <v>0</v>
      </c>
      <c r="AS85" s="50">
        <f t="shared" ref="AS85:AS86" si="78">SUM(AQ85+AR85)</f>
        <v>0</v>
      </c>
      <c r="AT85" s="50" t="s">
        <v>250</v>
      </c>
      <c r="AU85" s="57" t="s">
        <v>250</v>
      </c>
      <c r="AW85" s="50"/>
      <c r="AX85" s="59" t="s">
        <v>166</v>
      </c>
      <c r="AY85" s="1">
        <v>5</v>
      </c>
      <c r="AZ85" s="56">
        <v>45483</v>
      </c>
      <c r="BA85" s="50">
        <v>0</v>
      </c>
      <c r="BB85" s="50">
        <v>0</v>
      </c>
      <c r="BC85" s="50">
        <f t="shared" si="76"/>
        <v>0</v>
      </c>
      <c r="BD85" s="50" t="s">
        <v>250</v>
      </c>
      <c r="BE85" s="57" t="s">
        <v>250</v>
      </c>
      <c r="BG85" s="50"/>
      <c r="BH85" s="59" t="s">
        <v>166</v>
      </c>
      <c r="BI85" s="1">
        <v>6</v>
      </c>
      <c r="BJ85" s="56">
        <v>45490</v>
      </c>
      <c r="BK85" s="50">
        <v>0</v>
      </c>
      <c r="BL85" s="50">
        <v>0</v>
      </c>
      <c r="BM85" s="50">
        <f t="shared" si="73"/>
        <v>0</v>
      </c>
      <c r="BN85" s="50" t="s">
        <v>250</v>
      </c>
      <c r="BO85" s="57" t="s">
        <v>250</v>
      </c>
      <c r="BQ85" s="50"/>
      <c r="BR85" s="59" t="s">
        <v>166</v>
      </c>
      <c r="BS85" s="1">
        <v>7</v>
      </c>
      <c r="BT85" s="56">
        <v>45497</v>
      </c>
      <c r="BU85" s="50">
        <v>0</v>
      </c>
      <c r="BV85" s="50">
        <v>0</v>
      </c>
      <c r="BW85" s="50">
        <f t="shared" si="77"/>
        <v>0</v>
      </c>
      <c r="BX85" s="50" t="s">
        <v>250</v>
      </c>
      <c r="BY85" s="50" t="s">
        <v>250</v>
      </c>
      <c r="CC85" s="75" t="s">
        <v>166</v>
      </c>
      <c r="CD85" s="76">
        <f t="shared" si="74"/>
        <v>21</v>
      </c>
    </row>
    <row r="86" spans="1:82" ht="14.4" x14ac:dyDescent="0.3">
      <c r="A86" s="50" t="s">
        <v>167</v>
      </c>
      <c r="B86" s="50" t="s">
        <v>93</v>
      </c>
      <c r="C86" s="68">
        <v>32.500860000000003</v>
      </c>
      <c r="D86" s="68">
        <v>-83.508359999999996</v>
      </c>
      <c r="E86" s="70">
        <v>45446</v>
      </c>
      <c r="F86" s="70">
        <v>45448</v>
      </c>
      <c r="G86" s="67">
        <v>45497</v>
      </c>
      <c r="H86" s="1" t="s">
        <v>25</v>
      </c>
      <c r="I86" s="1" t="s">
        <v>26</v>
      </c>
      <c r="J86" s="59" t="s">
        <v>167</v>
      </c>
      <c r="K86" s="6">
        <v>1</v>
      </c>
      <c r="L86" s="56">
        <v>45455</v>
      </c>
      <c r="M86" s="50">
        <v>2</v>
      </c>
      <c r="N86" s="50">
        <v>2</v>
      </c>
      <c r="O86" s="50">
        <f t="shared" si="52"/>
        <v>4</v>
      </c>
      <c r="P86" s="50" t="s">
        <v>252</v>
      </c>
      <c r="Q86" s="57" t="s">
        <v>252</v>
      </c>
      <c r="T86" s="59" t="s">
        <v>167</v>
      </c>
      <c r="U86" s="6">
        <v>2</v>
      </c>
      <c r="V86" s="56">
        <v>45462</v>
      </c>
      <c r="W86" s="50">
        <v>2</v>
      </c>
      <c r="X86" s="50">
        <v>1</v>
      </c>
      <c r="Y86" s="50">
        <f t="shared" si="53"/>
        <v>3</v>
      </c>
      <c r="Z86" s="50" t="s">
        <v>252</v>
      </c>
      <c r="AA86" s="57" t="s">
        <v>250</v>
      </c>
      <c r="AC86" s="50"/>
      <c r="AD86" s="59" t="s">
        <v>167</v>
      </c>
      <c r="AE86" s="1">
        <v>3</v>
      </c>
      <c r="AF86" s="56">
        <v>45469</v>
      </c>
      <c r="AG86" s="50">
        <v>5</v>
      </c>
      <c r="AH86" s="50">
        <v>5</v>
      </c>
      <c r="AI86" s="50">
        <f t="shared" si="63"/>
        <v>10</v>
      </c>
      <c r="AJ86" s="50" t="s">
        <v>252</v>
      </c>
      <c r="AK86" s="57" t="s">
        <v>252</v>
      </c>
      <c r="AM86" s="50"/>
      <c r="AN86" s="59" t="s">
        <v>167</v>
      </c>
      <c r="AO86" s="1">
        <v>4</v>
      </c>
      <c r="AP86" s="56">
        <v>45476</v>
      </c>
      <c r="AQ86" s="50">
        <v>1</v>
      </c>
      <c r="AR86" s="50">
        <v>0</v>
      </c>
      <c r="AS86" s="50">
        <f t="shared" si="78"/>
        <v>1</v>
      </c>
      <c r="AT86" s="50" t="s">
        <v>252</v>
      </c>
      <c r="AU86" s="57" t="s">
        <v>250</v>
      </c>
      <c r="AW86" s="50"/>
      <c r="AX86" s="59" t="s">
        <v>167</v>
      </c>
      <c r="AY86" s="1">
        <v>5</v>
      </c>
      <c r="AZ86" s="56">
        <v>45483</v>
      </c>
      <c r="BA86" s="50">
        <v>14</v>
      </c>
      <c r="BB86" s="50">
        <v>4</v>
      </c>
      <c r="BC86" s="50">
        <f t="shared" si="76"/>
        <v>18</v>
      </c>
      <c r="BD86" s="50" t="s">
        <v>252</v>
      </c>
      <c r="BE86" s="57" t="s">
        <v>252</v>
      </c>
      <c r="BG86" s="50"/>
      <c r="BH86" s="59" t="s">
        <v>167</v>
      </c>
      <c r="BI86" s="1">
        <v>6</v>
      </c>
      <c r="BJ86" s="56">
        <v>45490</v>
      </c>
      <c r="BK86" s="50">
        <v>10</v>
      </c>
      <c r="BL86" s="50">
        <v>3</v>
      </c>
      <c r="BM86" s="50">
        <f t="shared" si="73"/>
        <v>13</v>
      </c>
      <c r="BN86" s="50" t="s">
        <v>252</v>
      </c>
      <c r="BO86" s="57" t="s">
        <v>252</v>
      </c>
      <c r="BQ86" s="50"/>
      <c r="BR86" s="59" t="s">
        <v>167</v>
      </c>
      <c r="BS86" s="1">
        <v>7</v>
      </c>
      <c r="BT86" s="56">
        <v>45497</v>
      </c>
      <c r="BU86" s="50">
        <v>0</v>
      </c>
      <c r="BV86" s="50">
        <v>1</v>
      </c>
      <c r="BW86" s="50">
        <f t="shared" si="77"/>
        <v>1</v>
      </c>
      <c r="BX86" s="50" t="s">
        <v>252</v>
      </c>
      <c r="BY86" s="50" t="s">
        <v>250</v>
      </c>
      <c r="CC86" s="75" t="s">
        <v>167</v>
      </c>
      <c r="CD86" s="76">
        <f t="shared" si="74"/>
        <v>50</v>
      </c>
    </row>
    <row r="87" spans="1:82" ht="14.4" x14ac:dyDescent="0.3">
      <c r="A87" s="50" t="s">
        <v>168</v>
      </c>
      <c r="B87" s="50" t="s">
        <v>169</v>
      </c>
      <c r="C87" s="68">
        <v>32.501800000000003</v>
      </c>
      <c r="D87" s="68">
        <v>-83.488590000000002</v>
      </c>
      <c r="E87" s="70">
        <v>45433</v>
      </c>
      <c r="F87" s="70">
        <v>45448</v>
      </c>
      <c r="G87" s="67">
        <v>45497</v>
      </c>
      <c r="H87" s="1" t="s">
        <v>25</v>
      </c>
      <c r="I87" s="1" t="s">
        <v>26</v>
      </c>
      <c r="J87" s="59" t="s">
        <v>168</v>
      </c>
      <c r="K87" s="6">
        <v>1</v>
      </c>
      <c r="L87" s="56">
        <v>45456</v>
      </c>
      <c r="M87" s="50">
        <v>3</v>
      </c>
      <c r="N87" s="50">
        <v>2</v>
      </c>
      <c r="O87" s="50">
        <f t="shared" si="52"/>
        <v>5</v>
      </c>
      <c r="P87" s="50" t="s">
        <v>252</v>
      </c>
      <c r="Q87" s="57" t="s">
        <v>250</v>
      </c>
      <c r="R87" s="57" t="s">
        <v>269</v>
      </c>
      <c r="S87" s="50" t="s">
        <v>273</v>
      </c>
      <c r="T87" s="59" t="s">
        <v>168</v>
      </c>
      <c r="U87" s="6">
        <v>2</v>
      </c>
      <c r="V87" s="56">
        <v>45462</v>
      </c>
      <c r="W87" s="50">
        <v>0</v>
      </c>
      <c r="X87" s="50">
        <v>0</v>
      </c>
      <c r="Y87" s="50">
        <f t="shared" si="53"/>
        <v>0</v>
      </c>
      <c r="Z87" s="50" t="s">
        <v>250</v>
      </c>
      <c r="AA87" s="57" t="s">
        <v>250</v>
      </c>
      <c r="AC87" s="50"/>
      <c r="AD87" s="59" t="s">
        <v>168</v>
      </c>
      <c r="AE87" s="1">
        <v>3</v>
      </c>
      <c r="AF87" s="56">
        <v>45469</v>
      </c>
      <c r="AG87" s="50">
        <v>0</v>
      </c>
      <c r="AH87" s="50">
        <v>0</v>
      </c>
      <c r="AI87" s="50">
        <f t="shared" ref="AI87" si="79">SUM(AG87+AH87)</f>
        <v>0</v>
      </c>
      <c r="AJ87" s="50" t="s">
        <v>250</v>
      </c>
      <c r="AK87" s="57" t="s">
        <v>250</v>
      </c>
      <c r="AM87" s="50"/>
      <c r="AN87" s="59" t="s">
        <v>168</v>
      </c>
      <c r="AO87" s="1">
        <v>4</v>
      </c>
      <c r="AP87" s="56">
        <v>45476</v>
      </c>
      <c r="AQ87" s="50">
        <v>22</v>
      </c>
      <c r="AR87" s="50">
        <v>19</v>
      </c>
      <c r="AS87" s="50">
        <f t="shared" si="60"/>
        <v>41</v>
      </c>
      <c r="AT87" s="50" t="s">
        <v>252</v>
      </c>
      <c r="AU87" s="57" t="s">
        <v>250</v>
      </c>
      <c r="AW87" s="50"/>
      <c r="AX87" s="59" t="s">
        <v>168</v>
      </c>
      <c r="AY87" s="1">
        <v>5</v>
      </c>
      <c r="AZ87" s="56">
        <v>45483</v>
      </c>
      <c r="BA87" s="50">
        <v>0</v>
      </c>
      <c r="BB87" s="50">
        <v>0</v>
      </c>
      <c r="BC87" s="50">
        <f t="shared" ref="BC87" si="80">SUM(BA87+BB87)</f>
        <v>0</v>
      </c>
      <c r="BD87" s="50" t="s">
        <v>250</v>
      </c>
      <c r="BE87" s="57" t="s">
        <v>250</v>
      </c>
      <c r="BG87" s="50"/>
      <c r="BH87" s="59" t="s">
        <v>168</v>
      </c>
      <c r="BI87" s="1">
        <v>6</v>
      </c>
      <c r="BJ87" s="56">
        <v>45490</v>
      </c>
      <c r="BK87" s="50">
        <v>0</v>
      </c>
      <c r="BL87" s="50">
        <v>0</v>
      </c>
      <c r="BM87" s="50">
        <f t="shared" ref="BM87" si="81">SUM(BK87+BL87)</f>
        <v>0</v>
      </c>
      <c r="BN87" s="50" t="s">
        <v>250</v>
      </c>
      <c r="BO87" s="57" t="s">
        <v>250</v>
      </c>
      <c r="BQ87" s="50"/>
      <c r="BR87" s="59" t="s">
        <v>168</v>
      </c>
      <c r="BS87" s="1">
        <v>7</v>
      </c>
      <c r="BT87" s="56">
        <v>45497</v>
      </c>
      <c r="BU87" s="50">
        <v>1</v>
      </c>
      <c r="BV87" s="50">
        <v>1</v>
      </c>
      <c r="BW87" s="50">
        <f t="shared" si="72"/>
        <v>2</v>
      </c>
      <c r="BX87" s="50" t="s">
        <v>252</v>
      </c>
      <c r="BY87" s="50" t="s">
        <v>250</v>
      </c>
      <c r="CC87" s="75" t="s">
        <v>168</v>
      </c>
      <c r="CD87" s="76">
        <f t="shared" si="74"/>
        <v>48</v>
      </c>
    </row>
    <row r="88" spans="1:82" ht="14.4" x14ac:dyDescent="0.3">
      <c r="A88" s="50" t="s">
        <v>170</v>
      </c>
      <c r="B88" s="50" t="s">
        <v>169</v>
      </c>
      <c r="C88" s="68">
        <v>32.501330000000003</v>
      </c>
      <c r="D88" s="68">
        <v>-83.472070000000002</v>
      </c>
      <c r="E88" s="70">
        <v>45433</v>
      </c>
      <c r="F88" s="70">
        <v>45446</v>
      </c>
      <c r="G88" s="67">
        <v>45495</v>
      </c>
      <c r="H88" s="1" t="s">
        <v>25</v>
      </c>
      <c r="I88" s="1" t="s">
        <v>26</v>
      </c>
      <c r="J88" s="59" t="s">
        <v>170</v>
      </c>
      <c r="K88" s="6">
        <v>1</v>
      </c>
      <c r="L88" s="56">
        <v>45453</v>
      </c>
      <c r="M88" s="50">
        <v>0</v>
      </c>
      <c r="N88" s="50">
        <v>0</v>
      </c>
      <c r="O88" s="50">
        <f t="shared" si="52"/>
        <v>0</v>
      </c>
      <c r="P88" s="50" t="s">
        <v>250</v>
      </c>
      <c r="Q88" s="57" t="s">
        <v>250</v>
      </c>
      <c r="T88" s="59" t="s">
        <v>170</v>
      </c>
      <c r="U88" s="6">
        <v>2</v>
      </c>
      <c r="V88" s="56">
        <v>45460</v>
      </c>
      <c r="W88" s="50">
        <v>5</v>
      </c>
      <c r="X88" s="50">
        <v>3</v>
      </c>
      <c r="Y88" s="50">
        <f t="shared" si="53"/>
        <v>8</v>
      </c>
      <c r="Z88" s="50" t="s">
        <v>252</v>
      </c>
      <c r="AA88" s="57" t="s">
        <v>250</v>
      </c>
      <c r="AC88" s="50"/>
      <c r="AD88" s="59" t="s">
        <v>170</v>
      </c>
      <c r="AE88" s="1">
        <v>3</v>
      </c>
      <c r="AF88" s="56">
        <v>45467</v>
      </c>
      <c r="AG88" s="50">
        <v>3</v>
      </c>
      <c r="AH88" s="50">
        <v>2</v>
      </c>
      <c r="AI88" s="50">
        <f t="shared" si="63"/>
        <v>5</v>
      </c>
      <c r="AJ88" s="50" t="s">
        <v>252</v>
      </c>
      <c r="AK88" s="57" t="s">
        <v>250</v>
      </c>
      <c r="AM88" s="50"/>
      <c r="AN88" s="59" t="s">
        <v>170</v>
      </c>
      <c r="AO88" s="1">
        <v>4</v>
      </c>
      <c r="AP88" s="56">
        <v>45474</v>
      </c>
      <c r="AQ88" s="50">
        <v>0</v>
      </c>
      <c r="AR88" s="50">
        <v>0</v>
      </c>
      <c r="AS88" s="50">
        <f t="shared" si="60"/>
        <v>0</v>
      </c>
      <c r="AT88" s="50" t="s">
        <v>250</v>
      </c>
      <c r="AU88" s="57" t="s">
        <v>250</v>
      </c>
      <c r="AW88" s="50"/>
      <c r="AX88" s="59" t="s">
        <v>170</v>
      </c>
      <c r="AY88" s="1">
        <v>5</v>
      </c>
      <c r="AZ88" s="56">
        <v>45481</v>
      </c>
      <c r="BA88" s="50">
        <v>1</v>
      </c>
      <c r="BB88" s="50">
        <v>6</v>
      </c>
      <c r="BC88" s="50">
        <f t="shared" si="56"/>
        <v>7</v>
      </c>
      <c r="BD88" s="50" t="s">
        <v>252</v>
      </c>
      <c r="BE88" s="57" t="s">
        <v>250</v>
      </c>
      <c r="BG88" s="50"/>
      <c r="BH88" s="59" t="s">
        <v>170</v>
      </c>
      <c r="BI88" s="1">
        <v>6</v>
      </c>
      <c r="BJ88" s="56">
        <v>45488</v>
      </c>
      <c r="BK88" s="50">
        <v>0</v>
      </c>
      <c r="BL88" s="50">
        <v>0</v>
      </c>
      <c r="BM88" s="50">
        <f t="shared" si="73"/>
        <v>0</v>
      </c>
      <c r="BN88" s="50" t="s">
        <v>250</v>
      </c>
      <c r="BO88" s="57" t="s">
        <v>250</v>
      </c>
      <c r="BQ88" s="50"/>
      <c r="BR88" s="59" t="s">
        <v>170</v>
      </c>
      <c r="BS88" s="1">
        <v>7</v>
      </c>
      <c r="BT88" s="56">
        <v>45495</v>
      </c>
      <c r="BU88" s="50">
        <v>0</v>
      </c>
      <c r="BV88" s="50">
        <v>5</v>
      </c>
      <c r="BW88" s="50">
        <f t="shared" si="72"/>
        <v>5</v>
      </c>
      <c r="BX88" s="50" t="s">
        <v>252</v>
      </c>
      <c r="BY88" s="50" t="s">
        <v>250</v>
      </c>
      <c r="BZ88" s="50" t="s">
        <v>300</v>
      </c>
      <c r="CC88" s="75" t="s">
        <v>170</v>
      </c>
      <c r="CD88" s="76">
        <f t="shared" si="74"/>
        <v>25</v>
      </c>
    </row>
    <row r="89" spans="1:82" ht="14.4" x14ac:dyDescent="0.3">
      <c r="A89" s="50" t="s">
        <v>171</v>
      </c>
      <c r="B89" s="50" t="s">
        <v>157</v>
      </c>
      <c r="C89" s="68">
        <v>32.505540000000003</v>
      </c>
      <c r="D89" s="68">
        <v>-83.452860000000001</v>
      </c>
      <c r="E89" s="70">
        <v>45435</v>
      </c>
      <c r="F89" s="70">
        <v>45448</v>
      </c>
      <c r="G89" s="67">
        <v>45501</v>
      </c>
      <c r="H89" s="1" t="s">
        <v>25</v>
      </c>
      <c r="I89" s="1" t="s">
        <v>26</v>
      </c>
      <c r="J89" s="59" t="s">
        <v>171</v>
      </c>
      <c r="K89" s="6">
        <v>1</v>
      </c>
      <c r="L89" s="56">
        <v>45455</v>
      </c>
      <c r="M89" s="50">
        <v>0</v>
      </c>
      <c r="N89" s="50">
        <v>1</v>
      </c>
      <c r="O89" s="50">
        <f t="shared" si="52"/>
        <v>1</v>
      </c>
      <c r="P89" s="50" t="s">
        <v>250</v>
      </c>
      <c r="Q89" s="57" t="s">
        <v>250</v>
      </c>
      <c r="R89" s="57" t="s">
        <v>253</v>
      </c>
      <c r="T89" s="59" t="s">
        <v>171</v>
      </c>
      <c r="U89" s="6">
        <v>2</v>
      </c>
      <c r="V89" s="56">
        <v>45462</v>
      </c>
      <c r="W89" s="50">
        <v>0</v>
      </c>
      <c r="X89" s="50">
        <v>0</v>
      </c>
      <c r="Y89" s="50">
        <f t="shared" si="53"/>
        <v>0</v>
      </c>
      <c r="Z89" s="50" t="s">
        <v>250</v>
      </c>
      <c r="AA89" s="57" t="s">
        <v>250</v>
      </c>
      <c r="AC89" s="50"/>
      <c r="AD89" s="59" t="s">
        <v>171</v>
      </c>
      <c r="AE89" s="1">
        <v>3</v>
      </c>
      <c r="AF89" s="56">
        <v>45469</v>
      </c>
      <c r="AG89" s="50">
        <v>0</v>
      </c>
      <c r="AH89" s="50">
        <v>0</v>
      </c>
      <c r="AI89" s="50">
        <f t="shared" ref="AI89:AI90" si="82">SUM(AG89+AH89)</f>
        <v>0</v>
      </c>
      <c r="AJ89" s="50" t="s">
        <v>250</v>
      </c>
      <c r="AK89" s="57" t="s">
        <v>250</v>
      </c>
      <c r="AM89" s="50"/>
      <c r="AN89" s="59" t="s">
        <v>171</v>
      </c>
      <c r="AO89" s="1">
        <v>4</v>
      </c>
      <c r="AP89" s="56">
        <v>45476</v>
      </c>
      <c r="AQ89" s="50">
        <v>0</v>
      </c>
      <c r="AR89" s="50">
        <v>0</v>
      </c>
      <c r="AS89" s="50">
        <f t="shared" ref="AS89" si="83">SUM(AQ89+AR89)</f>
        <v>0</v>
      </c>
      <c r="AT89" s="50" t="s">
        <v>250</v>
      </c>
      <c r="AU89" s="57" t="s">
        <v>250</v>
      </c>
      <c r="AW89" s="50"/>
      <c r="AX89" s="59" t="s">
        <v>171</v>
      </c>
      <c r="AY89" s="1">
        <v>5</v>
      </c>
      <c r="AZ89" s="56">
        <v>45483</v>
      </c>
      <c r="BA89" s="50">
        <v>0</v>
      </c>
      <c r="BB89" s="50">
        <v>0</v>
      </c>
      <c r="BC89" s="50">
        <f t="shared" si="56"/>
        <v>0</v>
      </c>
      <c r="BD89" s="50" t="s">
        <v>250</v>
      </c>
      <c r="BE89" s="57" t="s">
        <v>250</v>
      </c>
      <c r="BG89" s="50"/>
      <c r="BH89" s="59" t="s">
        <v>171</v>
      </c>
      <c r="BI89" s="1">
        <v>6</v>
      </c>
      <c r="BJ89" s="56">
        <v>45490</v>
      </c>
      <c r="BK89" s="50">
        <v>0</v>
      </c>
      <c r="BL89" s="50">
        <v>1</v>
      </c>
      <c r="BM89" s="50">
        <f t="shared" ref="BM89" si="84">SUM(BK89+BL89)</f>
        <v>1</v>
      </c>
      <c r="BN89" s="50" t="s">
        <v>261</v>
      </c>
      <c r="BO89" s="57" t="s">
        <v>250</v>
      </c>
      <c r="BQ89" s="50"/>
      <c r="BR89" s="59" t="s">
        <v>171</v>
      </c>
      <c r="BS89" s="1">
        <v>7</v>
      </c>
      <c r="BT89" s="56">
        <v>45497</v>
      </c>
      <c r="BU89" s="50">
        <v>0</v>
      </c>
      <c r="BV89" s="50">
        <v>0</v>
      </c>
      <c r="BW89" s="50">
        <f t="shared" si="72"/>
        <v>0</v>
      </c>
      <c r="BX89" s="50" t="s">
        <v>250</v>
      </c>
      <c r="BY89" s="50" t="s">
        <v>250</v>
      </c>
      <c r="CC89" s="75" t="s">
        <v>171</v>
      </c>
      <c r="CD89" s="76">
        <f t="shared" si="74"/>
        <v>2</v>
      </c>
    </row>
    <row r="90" spans="1:82" ht="14.4" x14ac:dyDescent="0.3">
      <c r="A90" s="50" t="s">
        <v>172</v>
      </c>
      <c r="B90" s="50" t="s">
        <v>96</v>
      </c>
      <c r="C90" s="68">
        <v>32.503419999999998</v>
      </c>
      <c r="D90" s="68">
        <v>-83.437399999999997</v>
      </c>
      <c r="E90" s="70">
        <v>45435</v>
      </c>
      <c r="F90" s="70">
        <v>45448</v>
      </c>
      <c r="G90" s="67">
        <v>45497</v>
      </c>
      <c r="H90" s="1" t="s">
        <v>25</v>
      </c>
      <c r="I90" s="1" t="s">
        <v>26</v>
      </c>
      <c r="J90" s="59" t="s">
        <v>172</v>
      </c>
      <c r="K90" s="6">
        <v>1</v>
      </c>
      <c r="L90" s="56">
        <v>45455</v>
      </c>
      <c r="M90" s="50">
        <v>0</v>
      </c>
      <c r="N90" s="50">
        <v>1</v>
      </c>
      <c r="O90" s="50">
        <f t="shared" si="52"/>
        <v>1</v>
      </c>
      <c r="P90" s="50" t="s">
        <v>261</v>
      </c>
      <c r="Q90" s="57" t="s">
        <v>250</v>
      </c>
      <c r="R90" s="57" t="s">
        <v>268</v>
      </c>
      <c r="T90" s="59" t="s">
        <v>172</v>
      </c>
      <c r="U90" s="6">
        <v>2</v>
      </c>
      <c r="V90" s="56">
        <v>45462</v>
      </c>
      <c r="W90" s="50">
        <v>0</v>
      </c>
      <c r="X90" s="50">
        <v>0</v>
      </c>
      <c r="Y90" s="50">
        <f>SUM(W90+X90)</f>
        <v>0</v>
      </c>
      <c r="Z90" s="50" t="s">
        <v>250</v>
      </c>
      <c r="AA90" s="57" t="s">
        <v>250</v>
      </c>
      <c r="AC90" s="50"/>
      <c r="AD90" s="59" t="s">
        <v>172</v>
      </c>
      <c r="AE90" s="1">
        <v>3</v>
      </c>
      <c r="AF90" s="56">
        <v>45469</v>
      </c>
      <c r="AG90" s="50">
        <v>0</v>
      </c>
      <c r="AH90" s="50">
        <v>0</v>
      </c>
      <c r="AI90" s="50">
        <f t="shared" si="82"/>
        <v>0</v>
      </c>
      <c r="AJ90" s="50" t="s">
        <v>250</v>
      </c>
      <c r="AK90" s="57" t="s">
        <v>250</v>
      </c>
      <c r="AM90" s="50"/>
      <c r="AN90" s="59" t="s">
        <v>172</v>
      </c>
      <c r="AO90" s="1">
        <v>4</v>
      </c>
      <c r="AP90" s="56">
        <v>45476</v>
      </c>
      <c r="AQ90" s="50">
        <v>0</v>
      </c>
      <c r="AR90" s="50">
        <v>0</v>
      </c>
      <c r="AS90" s="50">
        <f t="shared" ref="AS90" si="85">SUM(AQ90+AR90)</f>
        <v>0</v>
      </c>
      <c r="AT90" s="50" t="s">
        <v>250</v>
      </c>
      <c r="AU90" s="57" t="s">
        <v>250</v>
      </c>
      <c r="AW90" s="50"/>
      <c r="AX90" s="59" t="s">
        <v>172</v>
      </c>
      <c r="AY90" s="1">
        <v>5</v>
      </c>
      <c r="AZ90" s="56">
        <v>45483</v>
      </c>
      <c r="BA90" s="50">
        <v>0</v>
      </c>
      <c r="BB90" s="50">
        <v>0</v>
      </c>
      <c r="BC90" s="50">
        <f t="shared" si="56"/>
        <v>0</v>
      </c>
      <c r="BD90" s="50" t="s">
        <v>250</v>
      </c>
      <c r="BE90" s="57" t="s">
        <v>250</v>
      </c>
      <c r="BG90" s="50"/>
      <c r="BH90" s="59" t="s">
        <v>172</v>
      </c>
      <c r="BI90" s="1">
        <v>6</v>
      </c>
      <c r="BJ90" s="56">
        <v>45490</v>
      </c>
      <c r="BK90" s="50">
        <v>7</v>
      </c>
      <c r="BL90" s="50">
        <v>6</v>
      </c>
      <c r="BM90" s="50">
        <f t="shared" si="73"/>
        <v>13</v>
      </c>
      <c r="BN90" s="50" t="s">
        <v>252</v>
      </c>
      <c r="BO90" s="57" t="s">
        <v>250</v>
      </c>
      <c r="BP90" s="50" t="s">
        <v>297</v>
      </c>
      <c r="BQ90" s="50"/>
      <c r="BR90" s="59" t="s">
        <v>172</v>
      </c>
      <c r="BS90" s="1">
        <v>7</v>
      </c>
      <c r="BT90" s="56">
        <v>45497</v>
      </c>
      <c r="BU90" s="50">
        <v>0</v>
      </c>
      <c r="BV90" s="50">
        <v>0</v>
      </c>
      <c r="BW90" s="50">
        <f t="shared" ref="BW90:BW91" si="86">SUM(BU90+BV90)</f>
        <v>0</v>
      </c>
      <c r="BX90" s="50" t="s">
        <v>250</v>
      </c>
      <c r="BY90" s="50" t="s">
        <v>250</v>
      </c>
      <c r="CC90" s="75" t="s">
        <v>172</v>
      </c>
      <c r="CD90" s="76">
        <f t="shared" si="74"/>
        <v>14</v>
      </c>
    </row>
    <row r="91" spans="1:82" ht="14.4" x14ac:dyDescent="0.3">
      <c r="A91" s="50" t="s">
        <v>174</v>
      </c>
      <c r="B91" s="50" t="s">
        <v>96</v>
      </c>
      <c r="C91" s="68">
        <v>32.493630000000003</v>
      </c>
      <c r="D91" s="68">
        <v>-83.418670000000006</v>
      </c>
      <c r="E91" s="70">
        <v>45436</v>
      </c>
      <c r="F91" s="70">
        <v>45450</v>
      </c>
      <c r="G91" s="67">
        <v>45499</v>
      </c>
      <c r="H91" s="1" t="s">
        <v>25</v>
      </c>
      <c r="I91" s="1" t="s">
        <v>26</v>
      </c>
      <c r="J91" s="59" t="s">
        <v>174</v>
      </c>
      <c r="K91" s="6">
        <v>1</v>
      </c>
      <c r="L91" s="56">
        <v>45457</v>
      </c>
      <c r="M91" s="50">
        <v>0</v>
      </c>
      <c r="N91" s="50">
        <v>0</v>
      </c>
      <c r="O91" s="50">
        <f>SUM(M91+N91)</f>
        <v>0</v>
      </c>
      <c r="P91" s="50" t="s">
        <v>250</v>
      </c>
      <c r="Q91" s="57" t="s">
        <v>250</v>
      </c>
      <c r="T91" s="59" t="s">
        <v>174</v>
      </c>
      <c r="U91" s="6">
        <v>2</v>
      </c>
      <c r="V91" s="56">
        <v>45464</v>
      </c>
      <c r="W91" s="50">
        <v>0</v>
      </c>
      <c r="X91" s="50">
        <v>0</v>
      </c>
      <c r="Y91" s="50">
        <f t="shared" si="53"/>
        <v>0</v>
      </c>
      <c r="Z91" s="50" t="s">
        <v>250</v>
      </c>
      <c r="AA91" s="57" t="s">
        <v>250</v>
      </c>
      <c r="AC91" s="50"/>
      <c r="AD91" s="59" t="s">
        <v>174</v>
      </c>
      <c r="AE91" s="1">
        <v>3</v>
      </c>
      <c r="AF91" s="56">
        <v>45471</v>
      </c>
      <c r="AG91" s="50">
        <v>0</v>
      </c>
      <c r="AH91" s="50">
        <v>0</v>
      </c>
      <c r="AI91" s="50">
        <f t="shared" si="63"/>
        <v>0</v>
      </c>
      <c r="AJ91" s="50" t="s">
        <v>250</v>
      </c>
      <c r="AK91" s="57" t="s">
        <v>250</v>
      </c>
      <c r="AM91" s="50"/>
      <c r="AN91" s="59" t="s">
        <v>174</v>
      </c>
      <c r="AO91" s="1">
        <v>4</v>
      </c>
      <c r="AP91" s="56">
        <v>45479</v>
      </c>
      <c r="AQ91" s="50">
        <v>0</v>
      </c>
      <c r="AR91" s="50">
        <v>0</v>
      </c>
      <c r="AS91" s="50">
        <f t="shared" si="60"/>
        <v>0</v>
      </c>
      <c r="AT91" s="50" t="s">
        <v>250</v>
      </c>
      <c r="AU91" s="57" t="s">
        <v>250</v>
      </c>
      <c r="AW91" s="50"/>
      <c r="AX91" s="59" t="s">
        <v>174</v>
      </c>
      <c r="AY91" s="1">
        <v>5</v>
      </c>
      <c r="AZ91" s="56">
        <v>45485</v>
      </c>
      <c r="BA91" s="50">
        <v>0</v>
      </c>
      <c r="BB91" s="50">
        <v>1</v>
      </c>
      <c r="BC91" s="50">
        <f t="shared" si="56"/>
        <v>1</v>
      </c>
      <c r="BD91" s="50" t="s">
        <v>261</v>
      </c>
      <c r="BE91" s="57" t="s">
        <v>250</v>
      </c>
      <c r="BG91" s="50"/>
      <c r="BH91" s="59" t="s">
        <v>174</v>
      </c>
      <c r="BI91" s="1">
        <v>6</v>
      </c>
      <c r="BJ91" s="56">
        <v>45492</v>
      </c>
      <c r="BK91" s="50">
        <v>0</v>
      </c>
      <c r="BL91" s="50">
        <v>1</v>
      </c>
      <c r="BM91" s="50">
        <f t="shared" si="73"/>
        <v>1</v>
      </c>
      <c r="BN91" s="50" t="s">
        <v>250</v>
      </c>
      <c r="BO91" s="57" t="s">
        <v>250</v>
      </c>
      <c r="BP91" s="50" t="s">
        <v>253</v>
      </c>
      <c r="BQ91" s="50"/>
      <c r="BR91" s="59" t="s">
        <v>174</v>
      </c>
      <c r="BS91" s="1">
        <v>7</v>
      </c>
      <c r="BT91" s="56">
        <v>45499</v>
      </c>
      <c r="BU91" s="50">
        <v>0</v>
      </c>
      <c r="BV91" s="50">
        <v>0</v>
      </c>
      <c r="BW91" s="50">
        <f t="shared" si="86"/>
        <v>0</v>
      </c>
      <c r="BX91" s="50" t="s">
        <v>250</v>
      </c>
      <c r="BY91" s="50" t="s">
        <v>250</v>
      </c>
      <c r="CC91" s="75" t="s">
        <v>174</v>
      </c>
      <c r="CD91" s="76">
        <f t="shared" si="74"/>
        <v>2</v>
      </c>
    </row>
    <row r="92" spans="1:82" ht="14.4" x14ac:dyDescent="0.3">
      <c r="A92" s="50" t="s">
        <v>175</v>
      </c>
      <c r="B92" s="50" t="s">
        <v>96</v>
      </c>
      <c r="C92" s="68">
        <v>32.507159999999999</v>
      </c>
      <c r="D92" s="68">
        <v>-83.420460000000006</v>
      </c>
      <c r="E92" s="70">
        <v>45436</v>
      </c>
      <c r="F92" s="70">
        <v>45450</v>
      </c>
      <c r="G92" s="67">
        <v>45499</v>
      </c>
      <c r="H92" s="1" t="s">
        <v>25</v>
      </c>
      <c r="I92" s="1" t="s">
        <v>26</v>
      </c>
      <c r="J92" s="59" t="s">
        <v>175</v>
      </c>
      <c r="K92" s="6">
        <v>1</v>
      </c>
      <c r="L92" s="56">
        <v>45457</v>
      </c>
      <c r="M92" s="50">
        <v>0</v>
      </c>
      <c r="N92" s="50">
        <v>0</v>
      </c>
      <c r="O92" s="50">
        <f t="shared" si="52"/>
        <v>0</v>
      </c>
      <c r="P92" s="50" t="s">
        <v>250</v>
      </c>
      <c r="Q92" s="57" t="s">
        <v>250</v>
      </c>
      <c r="T92" s="59" t="s">
        <v>175</v>
      </c>
      <c r="U92" s="6">
        <v>2</v>
      </c>
      <c r="V92" s="56">
        <v>45464</v>
      </c>
      <c r="W92" s="50">
        <v>0</v>
      </c>
      <c r="X92" s="50">
        <v>1</v>
      </c>
      <c r="Y92" s="50">
        <f t="shared" si="53"/>
        <v>1</v>
      </c>
      <c r="Z92" s="50" t="s">
        <v>250</v>
      </c>
      <c r="AA92" s="57" t="s">
        <v>250</v>
      </c>
      <c r="AB92" s="50" t="s">
        <v>291</v>
      </c>
      <c r="AC92" s="50"/>
      <c r="AD92" s="59" t="s">
        <v>175</v>
      </c>
      <c r="AE92" s="1">
        <v>3</v>
      </c>
      <c r="AF92" s="56">
        <v>45471</v>
      </c>
      <c r="AG92" s="50">
        <v>0</v>
      </c>
      <c r="AH92" s="50">
        <v>0</v>
      </c>
      <c r="AI92" s="50">
        <f t="shared" ref="AI92" si="87">SUM(AG92+AH92)</f>
        <v>0</v>
      </c>
      <c r="AJ92" s="50" t="s">
        <v>250</v>
      </c>
      <c r="AK92" s="57" t="s">
        <v>250</v>
      </c>
      <c r="AM92" s="50"/>
      <c r="AN92" s="59" t="s">
        <v>175</v>
      </c>
      <c r="AO92" s="1">
        <v>4</v>
      </c>
      <c r="AP92" s="56">
        <v>45479</v>
      </c>
      <c r="AQ92" s="50">
        <v>0</v>
      </c>
      <c r="AR92" s="50">
        <v>0</v>
      </c>
      <c r="AS92" s="50">
        <f t="shared" ref="AS92" si="88">SUM(AQ92+AR92)</f>
        <v>0</v>
      </c>
      <c r="AT92" s="50" t="s">
        <v>250</v>
      </c>
      <c r="AU92" s="57" t="s">
        <v>250</v>
      </c>
      <c r="AW92" s="50"/>
      <c r="AX92" s="59" t="s">
        <v>175</v>
      </c>
      <c r="AY92" s="1">
        <v>5</v>
      </c>
      <c r="AZ92" s="56">
        <v>45485</v>
      </c>
      <c r="BA92" s="50">
        <v>0</v>
      </c>
      <c r="BB92" s="50">
        <v>0</v>
      </c>
      <c r="BC92" s="50">
        <f t="shared" si="56"/>
        <v>0</v>
      </c>
      <c r="BD92" s="50" t="s">
        <v>250</v>
      </c>
      <c r="BE92" s="57" t="s">
        <v>250</v>
      </c>
      <c r="BG92" s="50"/>
      <c r="BH92" s="59" t="s">
        <v>175</v>
      </c>
      <c r="BI92" s="1">
        <v>6</v>
      </c>
      <c r="BJ92" s="56">
        <v>45492</v>
      </c>
      <c r="BK92" s="50">
        <v>0</v>
      </c>
      <c r="BL92" s="50">
        <v>0</v>
      </c>
      <c r="BM92" s="50">
        <f t="shared" si="73"/>
        <v>0</v>
      </c>
      <c r="BN92" s="50" t="s">
        <v>250</v>
      </c>
      <c r="BO92" s="57" t="s">
        <v>250</v>
      </c>
      <c r="BQ92" s="50"/>
      <c r="BR92" s="59" t="s">
        <v>175</v>
      </c>
      <c r="BS92" s="1">
        <v>7</v>
      </c>
      <c r="BT92" s="56">
        <v>45499</v>
      </c>
      <c r="BU92" s="50">
        <v>0</v>
      </c>
      <c r="BV92" s="50">
        <v>1</v>
      </c>
      <c r="BW92" s="50">
        <f t="shared" ref="BW92" si="89">SUM(BU92+BV92)</f>
        <v>1</v>
      </c>
      <c r="BX92" s="50" t="s">
        <v>250</v>
      </c>
      <c r="BY92" s="50" t="s">
        <v>250</v>
      </c>
      <c r="BZ92" s="50" t="s">
        <v>301</v>
      </c>
      <c r="CC92" s="75" t="s">
        <v>175</v>
      </c>
      <c r="CD92" s="76">
        <f t="shared" si="74"/>
        <v>2</v>
      </c>
    </row>
    <row r="93" spans="1:82" ht="14.4" x14ac:dyDescent="0.3">
      <c r="A93" s="50" t="s">
        <v>176</v>
      </c>
      <c r="B93" s="50" t="s">
        <v>87</v>
      </c>
      <c r="C93" s="68">
        <v>32.522820000000003</v>
      </c>
      <c r="D93" s="68">
        <v>-83.499719999999996</v>
      </c>
      <c r="E93" s="70">
        <v>45440</v>
      </c>
      <c r="F93" s="70">
        <v>45446</v>
      </c>
      <c r="G93" s="67">
        <v>45501</v>
      </c>
      <c r="H93" s="1" t="s">
        <v>25</v>
      </c>
      <c r="I93" s="1" t="s">
        <v>26</v>
      </c>
      <c r="J93" s="59" t="s">
        <v>176</v>
      </c>
      <c r="K93" s="6">
        <v>1</v>
      </c>
      <c r="L93" s="56">
        <v>45453</v>
      </c>
      <c r="M93" s="50">
        <v>0</v>
      </c>
      <c r="N93" s="50">
        <v>0</v>
      </c>
      <c r="O93" s="50">
        <f t="shared" si="52"/>
        <v>0</v>
      </c>
      <c r="P93" s="50" t="s">
        <v>250</v>
      </c>
      <c r="Q93" s="57" t="s">
        <v>250</v>
      </c>
      <c r="T93" s="59" t="s">
        <v>176</v>
      </c>
      <c r="U93" s="6">
        <v>2</v>
      </c>
      <c r="V93" s="56">
        <v>45460</v>
      </c>
      <c r="W93" s="50">
        <v>0</v>
      </c>
      <c r="X93" s="50">
        <v>0</v>
      </c>
      <c r="Y93" s="50">
        <f t="shared" si="53"/>
        <v>0</v>
      </c>
      <c r="Z93" s="50" t="s">
        <v>250</v>
      </c>
      <c r="AA93" s="57" t="s">
        <v>250</v>
      </c>
      <c r="AC93" s="50"/>
      <c r="AD93" s="59" t="s">
        <v>176</v>
      </c>
      <c r="AE93" s="1">
        <v>3</v>
      </c>
      <c r="AF93" s="56">
        <v>45467</v>
      </c>
      <c r="AG93" s="50">
        <v>0</v>
      </c>
      <c r="AH93" s="50">
        <v>0</v>
      </c>
      <c r="AI93" s="50">
        <f t="shared" si="63"/>
        <v>0</v>
      </c>
      <c r="AJ93" s="50" t="s">
        <v>250</v>
      </c>
      <c r="AK93" s="57" t="s">
        <v>250</v>
      </c>
      <c r="AM93" s="50"/>
      <c r="AN93" s="59" t="s">
        <v>176</v>
      </c>
      <c r="AO93" s="1">
        <v>4</v>
      </c>
      <c r="AP93" s="56">
        <v>45474</v>
      </c>
      <c r="AQ93" s="50">
        <v>0</v>
      </c>
      <c r="AR93" s="50">
        <v>0</v>
      </c>
      <c r="AS93" s="50">
        <f t="shared" si="60"/>
        <v>0</v>
      </c>
      <c r="AT93" s="50" t="s">
        <v>250</v>
      </c>
      <c r="AU93" s="57" t="s">
        <v>250</v>
      </c>
      <c r="AW93" s="50"/>
      <c r="AX93" s="59" t="s">
        <v>176</v>
      </c>
      <c r="AY93" s="1">
        <v>5</v>
      </c>
      <c r="AZ93" s="56">
        <v>45481</v>
      </c>
      <c r="BA93" s="50">
        <v>0</v>
      </c>
      <c r="BB93" s="50">
        <v>0</v>
      </c>
      <c r="BC93" s="50">
        <f t="shared" si="56"/>
        <v>0</v>
      </c>
      <c r="BD93" s="50" t="s">
        <v>250</v>
      </c>
      <c r="BE93" s="57" t="s">
        <v>250</v>
      </c>
      <c r="BG93" s="50"/>
      <c r="BH93" s="59" t="s">
        <v>176</v>
      </c>
      <c r="BI93" s="1">
        <v>6</v>
      </c>
      <c r="BJ93" s="56">
        <v>45488</v>
      </c>
      <c r="BK93" s="50">
        <v>0</v>
      </c>
      <c r="BL93" s="50">
        <v>0</v>
      </c>
      <c r="BM93" s="50">
        <f t="shared" si="73"/>
        <v>0</v>
      </c>
      <c r="BN93" s="50" t="s">
        <v>250</v>
      </c>
      <c r="BO93" s="57" t="s">
        <v>250</v>
      </c>
      <c r="BQ93" s="50"/>
      <c r="BR93" s="59" t="s">
        <v>176</v>
      </c>
      <c r="BS93" s="1">
        <v>7</v>
      </c>
      <c r="BT93" s="56">
        <v>45495</v>
      </c>
      <c r="BU93" s="50">
        <v>0</v>
      </c>
      <c r="BV93" s="50">
        <v>0</v>
      </c>
      <c r="BW93" s="50">
        <f t="shared" si="72"/>
        <v>0</v>
      </c>
      <c r="BX93" s="50" t="s">
        <v>250</v>
      </c>
      <c r="BY93" s="50" t="s">
        <v>250</v>
      </c>
      <c r="CC93" s="75" t="s">
        <v>176</v>
      </c>
      <c r="CD93" s="76">
        <f t="shared" si="74"/>
        <v>0</v>
      </c>
    </row>
    <row r="94" spans="1:82" ht="14.4" x14ac:dyDescent="0.3">
      <c r="A94" s="50" t="s">
        <v>177</v>
      </c>
      <c r="B94" s="50" t="s">
        <v>178</v>
      </c>
      <c r="C94" s="68">
        <v>32.517409999999998</v>
      </c>
      <c r="D94" s="68">
        <v>-83.488569999999996</v>
      </c>
      <c r="E94" s="70">
        <v>45433</v>
      </c>
      <c r="F94" s="70">
        <v>45446</v>
      </c>
      <c r="G94" s="67">
        <v>45501</v>
      </c>
      <c r="H94" s="1" t="s">
        <v>25</v>
      </c>
      <c r="I94" s="1" t="s">
        <v>26</v>
      </c>
      <c r="J94" s="59" t="s">
        <v>177</v>
      </c>
      <c r="K94" s="6">
        <v>1</v>
      </c>
      <c r="L94" s="56">
        <v>45453</v>
      </c>
      <c r="M94" s="50">
        <v>0</v>
      </c>
      <c r="N94" s="50">
        <v>0</v>
      </c>
      <c r="O94" s="50">
        <f t="shared" si="52"/>
        <v>0</v>
      </c>
      <c r="P94" s="50" t="s">
        <v>250</v>
      </c>
      <c r="Q94" s="57" t="s">
        <v>250</v>
      </c>
      <c r="T94" s="59" t="s">
        <v>177</v>
      </c>
      <c r="U94" s="6">
        <v>2</v>
      </c>
      <c r="V94" s="56">
        <v>45460</v>
      </c>
      <c r="W94" s="50">
        <v>0</v>
      </c>
      <c r="X94" s="50">
        <v>0</v>
      </c>
      <c r="Y94" s="50">
        <f>SUM(W94+X94)</f>
        <v>0</v>
      </c>
      <c r="Z94" s="50" t="s">
        <v>250</v>
      </c>
      <c r="AA94" s="57" t="s">
        <v>250</v>
      </c>
      <c r="AC94" s="50"/>
      <c r="AD94" s="59" t="s">
        <v>177</v>
      </c>
      <c r="AE94" s="1">
        <v>3</v>
      </c>
      <c r="AF94" s="56">
        <v>45467</v>
      </c>
      <c r="AG94" s="50">
        <v>0</v>
      </c>
      <c r="AH94" s="50">
        <v>0</v>
      </c>
      <c r="AI94" s="50">
        <f t="shared" ref="AI94" si="90">SUM(AG94+AH94)</f>
        <v>0</v>
      </c>
      <c r="AJ94" s="50" t="s">
        <v>250</v>
      </c>
      <c r="AK94" s="57" t="s">
        <v>250</v>
      </c>
      <c r="AM94" s="50"/>
      <c r="AN94" s="59" t="s">
        <v>177</v>
      </c>
      <c r="AO94" s="1">
        <v>4</v>
      </c>
      <c r="AP94" s="56">
        <v>45474</v>
      </c>
      <c r="AQ94" s="50">
        <v>0</v>
      </c>
      <c r="AR94" s="50">
        <v>0</v>
      </c>
      <c r="AS94" s="50">
        <f t="shared" si="60"/>
        <v>0</v>
      </c>
      <c r="AT94" s="50" t="s">
        <v>250</v>
      </c>
      <c r="AU94" s="57" t="s">
        <v>250</v>
      </c>
      <c r="AW94" s="50"/>
      <c r="AX94" s="59" t="s">
        <v>177</v>
      </c>
      <c r="AY94" s="1">
        <v>5</v>
      </c>
      <c r="AZ94" s="56">
        <v>45481</v>
      </c>
      <c r="BA94" s="50">
        <v>0</v>
      </c>
      <c r="BB94" s="50">
        <v>0</v>
      </c>
      <c r="BC94" s="50">
        <f t="shared" ref="BC94" si="91">SUM(BA94+BB94)</f>
        <v>0</v>
      </c>
      <c r="BD94" s="50" t="s">
        <v>250</v>
      </c>
      <c r="BE94" s="57" t="s">
        <v>250</v>
      </c>
      <c r="BG94" s="50"/>
      <c r="BH94" s="59" t="s">
        <v>177</v>
      </c>
      <c r="BI94" s="1">
        <v>6</v>
      </c>
      <c r="BJ94" s="56">
        <v>45488</v>
      </c>
      <c r="BK94" s="50">
        <v>0</v>
      </c>
      <c r="BL94" s="50">
        <v>0</v>
      </c>
      <c r="BM94" s="50">
        <f t="shared" si="73"/>
        <v>0</v>
      </c>
      <c r="BN94" s="50" t="s">
        <v>250</v>
      </c>
      <c r="BO94" s="57" t="s">
        <v>250</v>
      </c>
      <c r="BQ94" s="50"/>
      <c r="BR94" s="59" t="s">
        <v>177</v>
      </c>
      <c r="BS94" s="1">
        <v>7</v>
      </c>
      <c r="BT94" s="56">
        <v>45495</v>
      </c>
      <c r="BU94" s="50">
        <v>0</v>
      </c>
      <c r="BV94" s="50">
        <v>0</v>
      </c>
      <c r="BW94" s="50">
        <f t="shared" ref="BW94" si="92">SUM(BU94+BV94)</f>
        <v>0</v>
      </c>
      <c r="BX94" s="50" t="s">
        <v>250</v>
      </c>
      <c r="BY94" s="50" t="s">
        <v>250</v>
      </c>
      <c r="CC94" s="75" t="s">
        <v>177</v>
      </c>
      <c r="CD94" s="76">
        <f t="shared" si="74"/>
        <v>0</v>
      </c>
    </row>
    <row r="95" spans="1:82" ht="14.4" x14ac:dyDescent="0.3">
      <c r="A95" s="85" t="s">
        <v>179</v>
      </c>
      <c r="B95" s="85" t="s">
        <v>163</v>
      </c>
      <c r="C95" s="86"/>
      <c r="D95" s="86"/>
      <c r="E95" s="87"/>
      <c r="F95" s="87"/>
      <c r="G95" s="88"/>
      <c r="H95" s="89" t="s">
        <v>25</v>
      </c>
      <c r="I95" s="89" t="s">
        <v>26</v>
      </c>
      <c r="J95" s="90" t="s">
        <v>179</v>
      </c>
      <c r="K95" s="91">
        <v>1</v>
      </c>
      <c r="L95" s="92"/>
      <c r="M95" s="85"/>
      <c r="N95" s="85"/>
      <c r="O95" s="85">
        <f t="shared" si="52"/>
        <v>0</v>
      </c>
      <c r="P95" s="85"/>
      <c r="Q95" s="93"/>
      <c r="R95" s="93"/>
      <c r="S95" s="85"/>
      <c r="T95" s="90" t="s">
        <v>179</v>
      </c>
      <c r="U95" s="91">
        <v>2</v>
      </c>
      <c r="V95" s="92"/>
      <c r="W95" s="85"/>
      <c r="X95" s="85"/>
      <c r="Y95" s="85">
        <f t="shared" si="53"/>
        <v>0</v>
      </c>
      <c r="Z95" s="85"/>
      <c r="AA95" s="93"/>
      <c r="AB95" s="85"/>
      <c r="AC95" s="85"/>
      <c r="AD95" s="90" t="s">
        <v>179</v>
      </c>
      <c r="AE95" s="89">
        <v>3</v>
      </c>
      <c r="AF95" s="92"/>
      <c r="AG95" s="85"/>
      <c r="AH95" s="85"/>
      <c r="AI95" s="85">
        <f t="shared" si="63"/>
        <v>0</v>
      </c>
      <c r="AJ95" s="85"/>
      <c r="AK95" s="93"/>
      <c r="AL95" s="85"/>
      <c r="AM95" s="85"/>
      <c r="AN95" s="90" t="s">
        <v>179</v>
      </c>
      <c r="AO95" s="89">
        <v>4</v>
      </c>
      <c r="AP95" s="92"/>
      <c r="AQ95" s="85"/>
      <c r="AR95" s="85"/>
      <c r="AS95" s="85">
        <f t="shared" si="60"/>
        <v>0</v>
      </c>
      <c r="AT95" s="85"/>
      <c r="AU95" s="93"/>
      <c r="AV95" s="85"/>
      <c r="AW95" s="85"/>
      <c r="AX95" s="90" t="s">
        <v>179</v>
      </c>
      <c r="AY95" s="89">
        <v>5</v>
      </c>
      <c r="AZ95" s="85"/>
      <c r="BA95" s="85"/>
      <c r="BB95" s="85"/>
      <c r="BC95" s="85">
        <f t="shared" si="56"/>
        <v>0</v>
      </c>
      <c r="BD95" s="85"/>
      <c r="BE95" s="93"/>
      <c r="BF95" s="85"/>
      <c r="BG95" s="85"/>
      <c r="BH95" s="90" t="s">
        <v>179</v>
      </c>
      <c r="BI95" s="89">
        <v>6</v>
      </c>
      <c r="BJ95" s="85"/>
      <c r="BK95" s="85"/>
      <c r="BL95" s="85"/>
      <c r="BM95" s="85">
        <f t="shared" si="73"/>
        <v>0</v>
      </c>
      <c r="BN95" s="85"/>
      <c r="BO95" s="93"/>
      <c r="BP95" s="85"/>
      <c r="BQ95" s="85"/>
      <c r="BR95" s="90" t="s">
        <v>179</v>
      </c>
      <c r="BS95" s="89">
        <v>7</v>
      </c>
      <c r="BT95" s="92"/>
      <c r="BU95" s="85"/>
      <c r="BV95" s="85"/>
      <c r="BW95" s="85">
        <f t="shared" si="72"/>
        <v>0</v>
      </c>
      <c r="BX95" s="85"/>
      <c r="BY95" s="85"/>
      <c r="BZ95" s="85"/>
      <c r="CA95" s="94"/>
      <c r="CC95" s="96" t="s">
        <v>179</v>
      </c>
      <c r="CD95" s="97">
        <f t="shared" si="74"/>
        <v>0</v>
      </c>
    </row>
    <row r="96" spans="1:82" ht="14.4" x14ac:dyDescent="0.3">
      <c r="A96" s="50" t="s">
        <v>247</v>
      </c>
      <c r="B96" s="50" t="s">
        <v>169</v>
      </c>
      <c r="C96" s="68">
        <v>32.517429999999997</v>
      </c>
      <c r="D96" s="68">
        <v>-83.466999999999999</v>
      </c>
      <c r="E96" s="70">
        <v>45433</v>
      </c>
      <c r="F96" s="70">
        <v>45446</v>
      </c>
      <c r="G96" s="67">
        <v>45495</v>
      </c>
      <c r="H96" s="1" t="s">
        <v>25</v>
      </c>
      <c r="I96" s="1" t="s">
        <v>26</v>
      </c>
      <c r="J96" s="59" t="s">
        <v>180</v>
      </c>
      <c r="K96" s="6">
        <v>1</v>
      </c>
      <c r="L96" s="56">
        <v>45453</v>
      </c>
      <c r="M96" s="50">
        <v>0</v>
      </c>
      <c r="N96" s="50">
        <v>0</v>
      </c>
      <c r="O96" s="50">
        <f t="shared" si="52"/>
        <v>0</v>
      </c>
      <c r="P96" s="50" t="s">
        <v>250</v>
      </c>
      <c r="Q96" s="57" t="s">
        <v>250</v>
      </c>
      <c r="T96" s="59" t="s">
        <v>180</v>
      </c>
      <c r="U96" s="6">
        <v>2</v>
      </c>
      <c r="V96" s="56">
        <v>45460</v>
      </c>
      <c r="W96" s="50">
        <v>2</v>
      </c>
      <c r="X96" s="50">
        <v>1</v>
      </c>
      <c r="Y96" s="50">
        <f t="shared" si="53"/>
        <v>3</v>
      </c>
      <c r="Z96" s="50" t="s">
        <v>252</v>
      </c>
      <c r="AA96" s="57" t="s">
        <v>250</v>
      </c>
      <c r="AC96" s="50"/>
      <c r="AD96" s="59" t="s">
        <v>180</v>
      </c>
      <c r="AE96" s="1">
        <v>3</v>
      </c>
      <c r="AF96" s="56">
        <v>45467</v>
      </c>
      <c r="AG96" s="50">
        <v>0</v>
      </c>
      <c r="AH96" s="50">
        <v>1</v>
      </c>
      <c r="AI96" s="50">
        <f t="shared" si="63"/>
        <v>1</v>
      </c>
      <c r="AJ96" s="50" t="s">
        <v>252</v>
      </c>
      <c r="AK96" s="57" t="s">
        <v>250</v>
      </c>
      <c r="AM96" s="50"/>
      <c r="AN96" s="59" t="s">
        <v>180</v>
      </c>
      <c r="AO96" s="1">
        <v>4</v>
      </c>
      <c r="AP96" s="56">
        <v>45474</v>
      </c>
      <c r="AQ96" s="50">
        <v>0</v>
      </c>
      <c r="AR96" s="50">
        <v>0</v>
      </c>
      <c r="AS96" s="50">
        <f t="shared" si="60"/>
        <v>0</v>
      </c>
      <c r="AT96" s="50" t="s">
        <v>250</v>
      </c>
      <c r="AU96" s="57" t="s">
        <v>250</v>
      </c>
      <c r="AW96" s="50"/>
      <c r="AX96" s="59" t="s">
        <v>180</v>
      </c>
      <c r="AY96" s="1">
        <v>5</v>
      </c>
      <c r="AZ96" s="56">
        <v>45481</v>
      </c>
      <c r="BA96" s="50">
        <v>0</v>
      </c>
      <c r="BB96" s="50">
        <v>0</v>
      </c>
      <c r="BC96" s="50">
        <f t="shared" ref="BC96" si="93">SUM(BA96+BB96)</f>
        <v>0</v>
      </c>
      <c r="BD96" s="50" t="s">
        <v>250</v>
      </c>
      <c r="BE96" s="57" t="s">
        <v>250</v>
      </c>
      <c r="BG96" s="50"/>
      <c r="BH96" s="59" t="s">
        <v>180</v>
      </c>
      <c r="BI96" s="1">
        <v>6</v>
      </c>
      <c r="BJ96" s="56">
        <v>45488</v>
      </c>
      <c r="BK96" s="50">
        <v>0</v>
      </c>
      <c r="BL96" s="50">
        <v>1</v>
      </c>
      <c r="BM96" s="50">
        <f t="shared" si="73"/>
        <v>1</v>
      </c>
      <c r="BN96" s="50" t="s">
        <v>252</v>
      </c>
      <c r="BO96" s="57" t="s">
        <v>250</v>
      </c>
      <c r="BQ96" s="50"/>
      <c r="BR96" s="59" t="s">
        <v>180</v>
      </c>
      <c r="BS96" s="1">
        <v>7</v>
      </c>
      <c r="BT96" s="56">
        <v>45495</v>
      </c>
      <c r="BU96" s="50">
        <v>0</v>
      </c>
      <c r="BV96" s="50">
        <v>0</v>
      </c>
      <c r="BW96" s="50">
        <f t="shared" ref="BW96:BW97" si="94">SUM(BU96+BV96)</f>
        <v>0</v>
      </c>
      <c r="BX96" s="50" t="s">
        <v>250</v>
      </c>
      <c r="BY96" s="50" t="s">
        <v>250</v>
      </c>
      <c r="CC96" s="75" t="s">
        <v>180</v>
      </c>
      <c r="CD96" s="76">
        <f t="shared" si="74"/>
        <v>5</v>
      </c>
    </row>
    <row r="97" spans="1:82" ht="14.4" x14ac:dyDescent="0.3">
      <c r="A97" s="50" t="s">
        <v>181</v>
      </c>
      <c r="B97" s="50" t="s">
        <v>96</v>
      </c>
      <c r="C97" s="68">
        <v>32.519019999999998</v>
      </c>
      <c r="D97" s="68">
        <v>-83.433920000000001</v>
      </c>
      <c r="E97" s="70">
        <v>45436</v>
      </c>
      <c r="F97" s="70">
        <v>45446</v>
      </c>
      <c r="G97" s="67">
        <v>45495</v>
      </c>
      <c r="H97" s="1" t="s">
        <v>25</v>
      </c>
      <c r="I97" s="1" t="s">
        <v>26</v>
      </c>
      <c r="J97" s="59" t="s">
        <v>181</v>
      </c>
      <c r="K97" s="6">
        <v>1</v>
      </c>
      <c r="L97" s="56">
        <v>45453</v>
      </c>
      <c r="M97" s="50">
        <v>0</v>
      </c>
      <c r="N97" s="50">
        <v>0</v>
      </c>
      <c r="O97" s="50">
        <f t="shared" si="52"/>
        <v>0</v>
      </c>
      <c r="P97" s="50" t="s">
        <v>250</v>
      </c>
      <c r="Q97" s="57" t="s">
        <v>250</v>
      </c>
      <c r="T97" s="59" t="s">
        <v>181</v>
      </c>
      <c r="U97" s="6">
        <v>2</v>
      </c>
      <c r="V97" s="56">
        <v>45460</v>
      </c>
      <c r="W97" s="50">
        <v>0</v>
      </c>
      <c r="X97" s="50">
        <v>0</v>
      </c>
      <c r="Y97" s="50">
        <f>SUM(W97+X97)</f>
        <v>0</v>
      </c>
      <c r="Z97" s="50" t="s">
        <v>250</v>
      </c>
      <c r="AA97" s="57" t="s">
        <v>250</v>
      </c>
      <c r="AC97" s="50"/>
      <c r="AD97" s="59" t="s">
        <v>181</v>
      </c>
      <c r="AE97" s="1">
        <v>3</v>
      </c>
      <c r="AF97" s="56">
        <v>45467</v>
      </c>
      <c r="AG97" s="50">
        <v>13</v>
      </c>
      <c r="AH97" s="50">
        <v>3</v>
      </c>
      <c r="AI97" s="50">
        <f t="shared" si="63"/>
        <v>16</v>
      </c>
      <c r="AJ97" s="50" t="s">
        <v>252</v>
      </c>
      <c r="AK97" s="57" t="s">
        <v>252</v>
      </c>
      <c r="AM97" s="50"/>
      <c r="AN97" s="59" t="s">
        <v>181</v>
      </c>
      <c r="AO97" s="1">
        <v>4</v>
      </c>
      <c r="AP97" s="56">
        <v>45474</v>
      </c>
      <c r="AQ97" s="50">
        <v>0</v>
      </c>
      <c r="AR97" s="50">
        <v>1</v>
      </c>
      <c r="AS97" s="50">
        <f t="shared" si="60"/>
        <v>1</v>
      </c>
      <c r="AT97" s="50" t="s">
        <v>252</v>
      </c>
      <c r="AU97" s="57" t="s">
        <v>252</v>
      </c>
      <c r="AW97" s="50"/>
      <c r="AX97" s="59" t="s">
        <v>181</v>
      </c>
      <c r="AY97" s="1">
        <v>5</v>
      </c>
      <c r="AZ97" s="56">
        <v>45481</v>
      </c>
      <c r="BA97" s="50">
        <v>4</v>
      </c>
      <c r="BB97" s="50">
        <v>2</v>
      </c>
      <c r="BC97" s="50">
        <f t="shared" si="56"/>
        <v>6</v>
      </c>
      <c r="BD97" s="50" t="s">
        <v>252</v>
      </c>
      <c r="BE97" s="57" t="s">
        <v>252</v>
      </c>
      <c r="BG97" s="50"/>
      <c r="BH97" s="59" t="s">
        <v>181</v>
      </c>
      <c r="BI97" s="1">
        <v>6</v>
      </c>
      <c r="BJ97" s="56">
        <v>45488</v>
      </c>
      <c r="BK97" s="50">
        <v>10</v>
      </c>
      <c r="BL97" s="50">
        <v>8</v>
      </c>
      <c r="BM97" s="50">
        <f t="shared" si="73"/>
        <v>18</v>
      </c>
      <c r="BN97" s="50" t="s">
        <v>252</v>
      </c>
      <c r="BO97" s="57" t="s">
        <v>252</v>
      </c>
      <c r="BQ97" s="50"/>
      <c r="BR97" s="59" t="s">
        <v>181</v>
      </c>
      <c r="BS97" s="1">
        <v>7</v>
      </c>
      <c r="BT97" s="56">
        <v>45495</v>
      </c>
      <c r="BU97" s="50">
        <v>1</v>
      </c>
      <c r="BV97" s="50">
        <v>1</v>
      </c>
      <c r="BW97" s="50">
        <f t="shared" si="94"/>
        <v>2</v>
      </c>
      <c r="BX97" s="50" t="s">
        <v>252</v>
      </c>
      <c r="BY97" s="50" t="s">
        <v>250</v>
      </c>
      <c r="CC97" s="75" t="s">
        <v>181</v>
      </c>
      <c r="CD97" s="76">
        <f t="shared" si="74"/>
        <v>43</v>
      </c>
    </row>
    <row r="98" spans="1:82" ht="14.4" x14ac:dyDescent="0.3">
      <c r="A98" s="50" t="s">
        <v>182</v>
      </c>
      <c r="B98" s="50" t="s">
        <v>183</v>
      </c>
      <c r="C98" s="68">
        <v>32.532809999999998</v>
      </c>
      <c r="D98" s="68">
        <v>-83.491720000000001</v>
      </c>
      <c r="E98" s="70">
        <v>45433</v>
      </c>
      <c r="F98" s="70">
        <v>45446</v>
      </c>
      <c r="G98" s="67">
        <v>45499</v>
      </c>
      <c r="H98" s="1" t="s">
        <v>25</v>
      </c>
      <c r="I98" s="1" t="s">
        <v>26</v>
      </c>
      <c r="J98" s="59" t="s">
        <v>182</v>
      </c>
      <c r="K98" s="6">
        <v>1</v>
      </c>
      <c r="L98" s="56">
        <v>45453</v>
      </c>
      <c r="M98" s="50">
        <v>0</v>
      </c>
      <c r="N98" s="50">
        <v>0</v>
      </c>
      <c r="O98" s="50">
        <f t="shared" si="52"/>
        <v>0</v>
      </c>
      <c r="P98" s="50" t="s">
        <v>250</v>
      </c>
      <c r="Q98" s="57" t="s">
        <v>250</v>
      </c>
      <c r="T98" s="59" t="s">
        <v>182</v>
      </c>
      <c r="U98" s="6">
        <v>2</v>
      </c>
      <c r="V98" s="56">
        <v>45460</v>
      </c>
      <c r="W98" s="50">
        <v>0</v>
      </c>
      <c r="X98" s="50">
        <v>0</v>
      </c>
      <c r="Y98" s="50">
        <f>SUM(W98+X98)</f>
        <v>0</v>
      </c>
      <c r="Z98" s="50" t="s">
        <v>250</v>
      </c>
      <c r="AA98" s="57" t="s">
        <v>250</v>
      </c>
      <c r="AC98" s="50"/>
      <c r="AD98" s="59" t="s">
        <v>182</v>
      </c>
      <c r="AE98" s="1">
        <v>3</v>
      </c>
      <c r="AF98" s="56">
        <v>45467</v>
      </c>
      <c r="AG98" s="50">
        <v>0</v>
      </c>
      <c r="AH98" s="50">
        <v>0</v>
      </c>
      <c r="AI98" s="50">
        <f t="shared" si="63"/>
        <v>0</v>
      </c>
      <c r="AJ98" s="50" t="s">
        <v>250</v>
      </c>
      <c r="AK98" s="57" t="s">
        <v>250</v>
      </c>
      <c r="AM98" s="50"/>
      <c r="AN98" s="59" t="s">
        <v>182</v>
      </c>
      <c r="AO98" s="1">
        <v>4</v>
      </c>
      <c r="AP98" s="56">
        <v>45474</v>
      </c>
      <c r="AQ98" s="50">
        <v>0</v>
      </c>
      <c r="AR98" s="50">
        <v>0</v>
      </c>
      <c r="AS98" s="50">
        <f t="shared" ref="AS98:AS103" si="95">SUM(AQ98+AR98)</f>
        <v>0</v>
      </c>
      <c r="AT98" s="50" t="s">
        <v>250</v>
      </c>
      <c r="AU98" s="57" t="s">
        <v>250</v>
      </c>
      <c r="AW98" s="50"/>
      <c r="AX98" s="59" t="s">
        <v>182</v>
      </c>
      <c r="AY98" s="1">
        <v>5</v>
      </c>
      <c r="AZ98" s="56">
        <v>45481</v>
      </c>
      <c r="BA98" s="50">
        <v>0</v>
      </c>
      <c r="BB98" s="50">
        <v>0</v>
      </c>
      <c r="BC98" s="50">
        <f t="shared" si="56"/>
        <v>0</v>
      </c>
      <c r="BD98" s="50" t="s">
        <v>250</v>
      </c>
      <c r="BE98" s="57" t="s">
        <v>250</v>
      </c>
      <c r="BG98" s="50"/>
      <c r="BH98" s="59" t="s">
        <v>182</v>
      </c>
      <c r="BI98" s="1">
        <v>6</v>
      </c>
      <c r="BJ98" s="56">
        <v>45488</v>
      </c>
      <c r="BK98" s="50">
        <v>0</v>
      </c>
      <c r="BL98" s="50">
        <v>0</v>
      </c>
      <c r="BM98" s="50">
        <f t="shared" ref="BM98:BM101" si="96">SUM(BK98+BL98)</f>
        <v>0</v>
      </c>
      <c r="BN98" s="50" t="s">
        <v>250</v>
      </c>
      <c r="BO98" s="57" t="s">
        <v>250</v>
      </c>
      <c r="BQ98" s="50"/>
      <c r="BR98" s="59" t="s">
        <v>182</v>
      </c>
      <c r="BS98" s="1">
        <v>7</v>
      </c>
      <c r="BT98" s="56">
        <v>45495</v>
      </c>
      <c r="BU98" s="50">
        <v>0</v>
      </c>
      <c r="BV98" s="50">
        <v>0</v>
      </c>
      <c r="BW98" s="50">
        <f t="shared" ref="BW98:BW102" si="97">SUM(BU98+BV98)</f>
        <v>0</v>
      </c>
      <c r="BX98" s="50" t="s">
        <v>250</v>
      </c>
      <c r="BY98" s="50" t="s">
        <v>250</v>
      </c>
      <c r="CC98" s="75" t="s">
        <v>182</v>
      </c>
      <c r="CD98" s="76">
        <f t="shared" si="74"/>
        <v>0</v>
      </c>
    </row>
    <row r="99" spans="1:82" ht="14.4" x14ac:dyDescent="0.3">
      <c r="A99" s="50" t="s">
        <v>184</v>
      </c>
      <c r="B99" s="50" t="s">
        <v>183</v>
      </c>
      <c r="C99" s="68">
        <v>32.539909999999999</v>
      </c>
      <c r="D99" s="68">
        <v>-83.475880000000004</v>
      </c>
      <c r="E99" s="70">
        <v>45433</v>
      </c>
      <c r="F99" s="70">
        <v>45446</v>
      </c>
      <c r="G99" s="67">
        <v>45501</v>
      </c>
      <c r="H99" s="1" t="s">
        <v>25</v>
      </c>
      <c r="I99" s="1" t="s">
        <v>26</v>
      </c>
      <c r="J99" s="59" t="s">
        <v>184</v>
      </c>
      <c r="K99" s="6">
        <v>1</v>
      </c>
      <c r="L99" s="56">
        <v>45453</v>
      </c>
      <c r="M99" s="50">
        <v>0</v>
      </c>
      <c r="N99" s="50">
        <v>0</v>
      </c>
      <c r="O99" s="50">
        <f t="shared" si="52"/>
        <v>0</v>
      </c>
      <c r="P99" s="50" t="s">
        <v>250</v>
      </c>
      <c r="Q99" s="57" t="s">
        <v>250</v>
      </c>
      <c r="T99" s="59" t="s">
        <v>184</v>
      </c>
      <c r="U99" s="6">
        <v>2</v>
      </c>
      <c r="V99" s="56">
        <v>45460</v>
      </c>
      <c r="W99" s="50">
        <v>0</v>
      </c>
      <c r="X99" s="50">
        <v>0</v>
      </c>
      <c r="Y99" s="50">
        <f>SUM(W99+X99)</f>
        <v>0</v>
      </c>
      <c r="Z99" s="50" t="s">
        <v>250</v>
      </c>
      <c r="AA99" s="57" t="s">
        <v>250</v>
      </c>
      <c r="AC99" s="50"/>
      <c r="AD99" s="59" t="s">
        <v>184</v>
      </c>
      <c r="AE99" s="1">
        <v>3</v>
      </c>
      <c r="AF99" s="56">
        <v>45467</v>
      </c>
      <c r="AG99" s="50">
        <v>5</v>
      </c>
      <c r="AH99" s="50">
        <v>0</v>
      </c>
      <c r="AI99" s="50">
        <f t="shared" si="63"/>
        <v>5</v>
      </c>
      <c r="AJ99" s="50" t="s">
        <v>252</v>
      </c>
      <c r="AK99" s="57" t="s">
        <v>250</v>
      </c>
      <c r="AM99" s="50"/>
      <c r="AN99" s="59" t="s">
        <v>184</v>
      </c>
      <c r="AO99" s="1">
        <v>4</v>
      </c>
      <c r="AP99" s="56">
        <v>45474</v>
      </c>
      <c r="AQ99" s="50">
        <v>0</v>
      </c>
      <c r="AR99" s="50">
        <v>0</v>
      </c>
      <c r="AS99" s="50">
        <f t="shared" si="95"/>
        <v>0</v>
      </c>
      <c r="AT99" s="50" t="s">
        <v>250</v>
      </c>
      <c r="AU99" s="57" t="s">
        <v>250</v>
      </c>
      <c r="AW99" s="50"/>
      <c r="AX99" s="59" t="s">
        <v>184</v>
      </c>
      <c r="AY99" s="1">
        <v>5</v>
      </c>
      <c r="AZ99" s="56">
        <v>45481</v>
      </c>
      <c r="BA99" s="50">
        <v>0</v>
      </c>
      <c r="BB99" s="50">
        <v>0</v>
      </c>
      <c r="BC99" s="50">
        <f t="shared" ref="BC99:BC100" si="98">SUM(BA99+BB99)</f>
        <v>0</v>
      </c>
      <c r="BD99" s="50" t="s">
        <v>250</v>
      </c>
      <c r="BE99" s="57" t="s">
        <v>250</v>
      </c>
      <c r="BG99" s="50"/>
      <c r="BH99" s="59" t="s">
        <v>184</v>
      </c>
      <c r="BI99" s="1">
        <v>6</v>
      </c>
      <c r="BJ99" s="56">
        <v>45488</v>
      </c>
      <c r="BK99" s="50">
        <v>0</v>
      </c>
      <c r="BL99" s="50">
        <v>0</v>
      </c>
      <c r="BM99" s="50">
        <f t="shared" si="96"/>
        <v>0</v>
      </c>
      <c r="BN99" s="50" t="s">
        <v>250</v>
      </c>
      <c r="BO99" s="57" t="s">
        <v>250</v>
      </c>
      <c r="BQ99" s="50"/>
      <c r="BR99" s="59" t="s">
        <v>184</v>
      </c>
      <c r="BS99" s="1">
        <v>7</v>
      </c>
      <c r="BT99" s="56">
        <v>45495</v>
      </c>
      <c r="BU99" s="50">
        <v>0</v>
      </c>
      <c r="BV99" s="50">
        <v>0</v>
      </c>
      <c r="BW99" s="50">
        <f t="shared" si="97"/>
        <v>0</v>
      </c>
      <c r="BX99" s="50" t="s">
        <v>250</v>
      </c>
      <c r="BY99" s="50" t="s">
        <v>250</v>
      </c>
      <c r="CC99" s="75" t="s">
        <v>184</v>
      </c>
      <c r="CD99" s="76">
        <f t="shared" si="74"/>
        <v>5</v>
      </c>
    </row>
    <row r="100" spans="1:82" ht="14.4" x14ac:dyDescent="0.3">
      <c r="A100" s="50" t="s">
        <v>185</v>
      </c>
      <c r="B100" s="50" t="s">
        <v>183</v>
      </c>
      <c r="C100" s="68">
        <v>32.527979999999999</v>
      </c>
      <c r="D100" s="68">
        <v>-83.4726</v>
      </c>
      <c r="E100" s="70">
        <v>45433</v>
      </c>
      <c r="F100" s="70">
        <v>45446</v>
      </c>
      <c r="G100" s="67">
        <v>45501</v>
      </c>
      <c r="H100" s="1" t="s">
        <v>25</v>
      </c>
      <c r="I100" s="1" t="s">
        <v>26</v>
      </c>
      <c r="J100" s="59" t="s">
        <v>185</v>
      </c>
      <c r="K100" s="6">
        <v>1</v>
      </c>
      <c r="L100" s="56">
        <v>45453</v>
      </c>
      <c r="M100" s="50">
        <v>0</v>
      </c>
      <c r="N100" s="50">
        <v>1</v>
      </c>
      <c r="O100" s="50">
        <f t="shared" si="52"/>
        <v>1</v>
      </c>
      <c r="P100" s="50" t="s">
        <v>252</v>
      </c>
      <c r="Q100" s="57" t="s">
        <v>250</v>
      </c>
      <c r="T100" s="59" t="s">
        <v>185</v>
      </c>
      <c r="U100" s="6">
        <v>2</v>
      </c>
      <c r="V100" s="56">
        <v>45460</v>
      </c>
      <c r="W100" s="50">
        <v>1</v>
      </c>
      <c r="X100" s="50">
        <v>0</v>
      </c>
      <c r="Y100" s="50">
        <f>SUM(W100+X100)</f>
        <v>1</v>
      </c>
      <c r="Z100" s="50" t="s">
        <v>252</v>
      </c>
      <c r="AA100" s="57" t="s">
        <v>250</v>
      </c>
      <c r="AC100" s="50"/>
      <c r="AD100" s="59" t="s">
        <v>185</v>
      </c>
      <c r="AE100" s="1">
        <v>3</v>
      </c>
      <c r="AF100" s="56">
        <v>45467</v>
      </c>
      <c r="AG100" s="50">
        <v>0</v>
      </c>
      <c r="AH100" s="50">
        <v>0</v>
      </c>
      <c r="AI100" s="50">
        <f t="shared" ref="AI100:AI101" si="99">SUM(AG100+AH100)</f>
        <v>0</v>
      </c>
      <c r="AJ100" s="50" t="s">
        <v>250</v>
      </c>
      <c r="AK100" s="57" t="s">
        <v>250</v>
      </c>
      <c r="AM100" s="50"/>
      <c r="AN100" s="59" t="s">
        <v>185</v>
      </c>
      <c r="AO100" s="1">
        <v>4</v>
      </c>
      <c r="AP100" s="56">
        <v>45474</v>
      </c>
      <c r="AQ100" s="50">
        <v>0</v>
      </c>
      <c r="AR100" s="50">
        <v>0</v>
      </c>
      <c r="AS100" s="50">
        <f t="shared" si="95"/>
        <v>0</v>
      </c>
      <c r="AT100" s="50" t="s">
        <v>250</v>
      </c>
      <c r="AU100" s="57" t="s">
        <v>250</v>
      </c>
      <c r="AW100" s="50"/>
      <c r="AX100" s="59" t="s">
        <v>185</v>
      </c>
      <c r="AY100" s="1">
        <v>5</v>
      </c>
      <c r="AZ100" s="56">
        <v>45481</v>
      </c>
      <c r="BA100" s="50">
        <v>0</v>
      </c>
      <c r="BB100" s="50">
        <v>0</v>
      </c>
      <c r="BC100" s="50">
        <f t="shared" si="98"/>
        <v>0</v>
      </c>
      <c r="BD100" s="50" t="s">
        <v>250</v>
      </c>
      <c r="BE100" s="57" t="s">
        <v>250</v>
      </c>
      <c r="BG100" s="50"/>
      <c r="BH100" s="59" t="s">
        <v>185</v>
      </c>
      <c r="BI100" s="1">
        <v>6</v>
      </c>
      <c r="BJ100" s="56">
        <v>45488</v>
      </c>
      <c r="BK100" s="50">
        <v>0</v>
      </c>
      <c r="BL100" s="50">
        <v>0</v>
      </c>
      <c r="BM100" s="50">
        <f t="shared" si="96"/>
        <v>0</v>
      </c>
      <c r="BN100" s="50" t="s">
        <v>250</v>
      </c>
      <c r="BO100" s="57" t="s">
        <v>250</v>
      </c>
      <c r="BQ100" s="50"/>
      <c r="BR100" s="59" t="s">
        <v>185</v>
      </c>
      <c r="BS100" s="1">
        <v>7</v>
      </c>
      <c r="BT100" s="56">
        <v>45495</v>
      </c>
      <c r="BU100" s="50">
        <v>0</v>
      </c>
      <c r="BV100" s="50">
        <v>0</v>
      </c>
      <c r="BW100" s="50">
        <f t="shared" si="97"/>
        <v>0</v>
      </c>
      <c r="BX100" s="50" t="s">
        <v>250</v>
      </c>
      <c r="BY100" s="50" t="s">
        <v>250</v>
      </c>
      <c r="CC100" s="75" t="s">
        <v>185</v>
      </c>
      <c r="CD100" s="76">
        <f t="shared" si="74"/>
        <v>2</v>
      </c>
    </row>
    <row r="101" spans="1:82" ht="14.4" x14ac:dyDescent="0.3">
      <c r="A101" s="50" t="s">
        <v>186</v>
      </c>
      <c r="B101" s="50" t="s">
        <v>169</v>
      </c>
      <c r="C101" s="68">
        <v>32.529780000000002</v>
      </c>
      <c r="D101" s="68">
        <v>-83.457250000000002</v>
      </c>
      <c r="E101" s="70">
        <v>45433</v>
      </c>
      <c r="F101" s="70">
        <v>45446</v>
      </c>
      <c r="G101" s="67">
        <v>45495</v>
      </c>
      <c r="H101" s="1" t="s">
        <v>25</v>
      </c>
      <c r="I101" s="1" t="s">
        <v>26</v>
      </c>
      <c r="J101" s="59" t="s">
        <v>186</v>
      </c>
      <c r="K101" s="6">
        <v>1</v>
      </c>
      <c r="L101" s="56">
        <v>45453</v>
      </c>
      <c r="M101" s="50">
        <v>0</v>
      </c>
      <c r="N101" s="50">
        <v>0</v>
      </c>
      <c r="O101" s="50">
        <f t="shared" si="52"/>
        <v>0</v>
      </c>
      <c r="P101" s="50" t="s">
        <v>250</v>
      </c>
      <c r="Q101" s="57" t="s">
        <v>250</v>
      </c>
      <c r="T101" s="59" t="s">
        <v>186</v>
      </c>
      <c r="U101" s="6">
        <v>2</v>
      </c>
      <c r="V101" s="56">
        <v>45460</v>
      </c>
      <c r="W101" s="50">
        <v>0</v>
      </c>
      <c r="X101" s="50">
        <v>0</v>
      </c>
      <c r="Y101" s="50">
        <f t="shared" si="53"/>
        <v>0</v>
      </c>
      <c r="Z101" s="50" t="s">
        <v>250</v>
      </c>
      <c r="AA101" s="57" t="s">
        <v>250</v>
      </c>
      <c r="AC101" s="50"/>
      <c r="AD101" s="59" t="s">
        <v>186</v>
      </c>
      <c r="AE101" s="1">
        <v>3</v>
      </c>
      <c r="AF101" s="56">
        <v>45467</v>
      </c>
      <c r="AG101" s="50">
        <v>0</v>
      </c>
      <c r="AH101" s="50">
        <v>0</v>
      </c>
      <c r="AI101" s="50">
        <f t="shared" si="99"/>
        <v>0</v>
      </c>
      <c r="AJ101" s="50" t="s">
        <v>250</v>
      </c>
      <c r="AK101" s="57" t="s">
        <v>250</v>
      </c>
      <c r="AM101" s="50"/>
      <c r="AN101" s="59" t="s">
        <v>186</v>
      </c>
      <c r="AO101" s="1">
        <v>4</v>
      </c>
      <c r="AP101" s="56">
        <v>45474</v>
      </c>
      <c r="AQ101" s="50">
        <v>0</v>
      </c>
      <c r="AR101" s="50">
        <v>0</v>
      </c>
      <c r="AS101" s="50">
        <f t="shared" si="95"/>
        <v>0</v>
      </c>
      <c r="AT101" s="50" t="s">
        <v>250</v>
      </c>
      <c r="AU101" s="57" t="s">
        <v>250</v>
      </c>
      <c r="AW101" s="50"/>
      <c r="AX101" s="59" t="s">
        <v>186</v>
      </c>
      <c r="AY101" s="1">
        <v>5</v>
      </c>
      <c r="AZ101" s="56">
        <v>45481</v>
      </c>
      <c r="BA101" s="50">
        <v>0</v>
      </c>
      <c r="BB101" s="50">
        <v>2</v>
      </c>
      <c r="BC101" s="50">
        <f t="shared" si="56"/>
        <v>2</v>
      </c>
      <c r="BD101" s="50" t="s">
        <v>250</v>
      </c>
      <c r="BE101" s="57" t="s">
        <v>250</v>
      </c>
      <c r="BG101" s="50"/>
      <c r="BH101" s="59" t="s">
        <v>186</v>
      </c>
      <c r="BI101" s="1">
        <v>6</v>
      </c>
      <c r="BJ101" s="56">
        <v>45488</v>
      </c>
      <c r="BK101" s="50">
        <v>0</v>
      </c>
      <c r="BL101" s="50">
        <v>0</v>
      </c>
      <c r="BM101" s="50">
        <f t="shared" si="96"/>
        <v>0</v>
      </c>
      <c r="BN101" s="50" t="s">
        <v>250</v>
      </c>
      <c r="BO101" s="57" t="s">
        <v>250</v>
      </c>
      <c r="BQ101" s="50"/>
      <c r="BR101" s="59" t="s">
        <v>186</v>
      </c>
      <c r="BS101" s="1">
        <v>7</v>
      </c>
      <c r="BT101" s="56">
        <v>45495</v>
      </c>
      <c r="BU101" s="50">
        <v>0</v>
      </c>
      <c r="BV101" s="50">
        <v>0</v>
      </c>
      <c r="BW101" s="50">
        <f t="shared" si="97"/>
        <v>0</v>
      </c>
      <c r="BX101" s="50" t="s">
        <v>250</v>
      </c>
      <c r="BY101" s="50" t="s">
        <v>250</v>
      </c>
      <c r="CC101" s="75" t="s">
        <v>186</v>
      </c>
      <c r="CD101" s="76">
        <f t="shared" si="74"/>
        <v>2</v>
      </c>
    </row>
    <row r="102" spans="1:82" ht="14.4" x14ac:dyDescent="0.3">
      <c r="A102" s="50" t="s">
        <v>187</v>
      </c>
      <c r="B102" s="50" t="s">
        <v>69</v>
      </c>
      <c r="C102" s="68">
        <v>32.508510000000001</v>
      </c>
      <c r="D102" s="68">
        <v>-83.391720000000007</v>
      </c>
      <c r="E102" s="70">
        <v>45436</v>
      </c>
      <c r="F102" s="70">
        <v>45450</v>
      </c>
      <c r="G102" s="67">
        <v>45499</v>
      </c>
      <c r="H102" s="1" t="s">
        <v>25</v>
      </c>
      <c r="I102" s="1" t="s">
        <v>26</v>
      </c>
      <c r="J102" s="59" t="s">
        <v>187</v>
      </c>
      <c r="K102" s="6">
        <v>1</v>
      </c>
      <c r="L102" s="56">
        <v>45457</v>
      </c>
      <c r="M102" s="50">
        <v>1</v>
      </c>
      <c r="N102" s="50">
        <v>0</v>
      </c>
      <c r="O102" s="50">
        <f t="shared" si="52"/>
        <v>1</v>
      </c>
      <c r="P102" s="50" t="s">
        <v>252</v>
      </c>
      <c r="Q102" s="57" t="s">
        <v>250</v>
      </c>
      <c r="T102" s="59" t="s">
        <v>187</v>
      </c>
      <c r="U102" s="6">
        <v>2</v>
      </c>
      <c r="V102" s="56">
        <v>45464</v>
      </c>
      <c r="W102" s="50">
        <v>0</v>
      </c>
      <c r="X102" s="50">
        <v>0</v>
      </c>
      <c r="Y102" s="50">
        <f t="shared" si="53"/>
        <v>0</v>
      </c>
      <c r="Z102" s="50" t="s">
        <v>250</v>
      </c>
      <c r="AA102" s="57" t="s">
        <v>250</v>
      </c>
      <c r="AC102" s="50"/>
      <c r="AD102" s="59" t="s">
        <v>187</v>
      </c>
      <c r="AE102" s="1">
        <v>3</v>
      </c>
      <c r="AF102" s="56">
        <v>45471</v>
      </c>
      <c r="AG102" s="50">
        <v>7</v>
      </c>
      <c r="AH102" s="50">
        <v>4</v>
      </c>
      <c r="AI102" s="50">
        <f t="shared" si="63"/>
        <v>11</v>
      </c>
      <c r="AJ102" s="50" t="s">
        <v>252</v>
      </c>
      <c r="AK102" s="57" t="s">
        <v>250</v>
      </c>
      <c r="AM102" s="50"/>
      <c r="AN102" s="59" t="s">
        <v>187</v>
      </c>
      <c r="AO102" s="1">
        <v>4</v>
      </c>
      <c r="AP102" s="56">
        <v>45479</v>
      </c>
      <c r="AQ102" s="50">
        <v>0</v>
      </c>
      <c r="AR102" s="50">
        <v>0</v>
      </c>
      <c r="AS102" s="50">
        <f t="shared" si="95"/>
        <v>0</v>
      </c>
      <c r="AT102" s="50" t="s">
        <v>250</v>
      </c>
      <c r="AU102" s="57" t="s">
        <v>250</v>
      </c>
      <c r="AW102" s="50"/>
      <c r="AX102" s="59" t="s">
        <v>187</v>
      </c>
      <c r="AY102" s="1">
        <v>5</v>
      </c>
      <c r="AZ102" s="56">
        <v>45485</v>
      </c>
      <c r="BA102" s="50">
        <v>0</v>
      </c>
      <c r="BB102" s="50">
        <v>0</v>
      </c>
      <c r="BC102" s="50">
        <f t="shared" si="56"/>
        <v>0</v>
      </c>
      <c r="BD102" s="50" t="s">
        <v>250</v>
      </c>
      <c r="BE102" s="57" t="s">
        <v>250</v>
      </c>
      <c r="BG102" s="50"/>
      <c r="BH102" s="59" t="s">
        <v>187</v>
      </c>
      <c r="BI102" s="1">
        <v>6</v>
      </c>
      <c r="BJ102" s="56">
        <v>45492</v>
      </c>
      <c r="BK102" s="50">
        <v>3</v>
      </c>
      <c r="BL102" s="50">
        <v>6</v>
      </c>
      <c r="BM102" s="50">
        <f t="shared" si="73"/>
        <v>9</v>
      </c>
      <c r="BN102" s="50" t="s">
        <v>252</v>
      </c>
      <c r="BO102" s="57" t="s">
        <v>250</v>
      </c>
      <c r="BQ102" s="50"/>
      <c r="BR102" s="59" t="s">
        <v>187</v>
      </c>
      <c r="BS102" s="1">
        <v>7</v>
      </c>
      <c r="BT102" s="56">
        <v>45499</v>
      </c>
      <c r="BU102" s="50">
        <v>0</v>
      </c>
      <c r="BV102" s="50">
        <v>0</v>
      </c>
      <c r="BW102" s="50">
        <f t="shared" si="97"/>
        <v>0</v>
      </c>
      <c r="BX102" s="50" t="s">
        <v>250</v>
      </c>
      <c r="BY102" s="50" t="s">
        <v>250</v>
      </c>
      <c r="CC102" s="75" t="s">
        <v>187</v>
      </c>
      <c r="CD102" s="76">
        <f t="shared" si="74"/>
        <v>21</v>
      </c>
    </row>
    <row r="103" spans="1:82" ht="14.4" x14ac:dyDescent="0.3">
      <c r="A103" s="50" t="s">
        <v>188</v>
      </c>
      <c r="B103" s="50" t="s">
        <v>69</v>
      </c>
      <c r="C103" s="68">
        <v>32.508789999999998</v>
      </c>
      <c r="D103" s="68">
        <v>-83.372010000000003</v>
      </c>
      <c r="E103" s="70">
        <v>45436</v>
      </c>
      <c r="F103" s="70">
        <v>45450</v>
      </c>
      <c r="G103" s="67">
        <v>45499</v>
      </c>
      <c r="H103" s="1" t="s">
        <v>25</v>
      </c>
      <c r="I103" s="1" t="s">
        <v>26</v>
      </c>
      <c r="J103" s="59" t="s">
        <v>188</v>
      </c>
      <c r="K103" s="6">
        <v>1</v>
      </c>
      <c r="L103" s="56">
        <v>45457</v>
      </c>
      <c r="M103" s="50">
        <v>0</v>
      </c>
      <c r="N103" s="50">
        <v>0</v>
      </c>
      <c r="O103" s="50">
        <f t="shared" si="52"/>
        <v>0</v>
      </c>
      <c r="P103" s="50" t="s">
        <v>250</v>
      </c>
      <c r="Q103" s="57" t="s">
        <v>250</v>
      </c>
      <c r="T103" s="59" t="s">
        <v>188</v>
      </c>
      <c r="U103" s="6">
        <v>2</v>
      </c>
      <c r="V103" s="56">
        <v>45464</v>
      </c>
      <c r="W103" s="50">
        <v>0</v>
      </c>
      <c r="X103" s="50">
        <v>0</v>
      </c>
      <c r="Y103" s="50">
        <f>SUM(W103+X103)</f>
        <v>0</v>
      </c>
      <c r="Z103" s="50" t="s">
        <v>250</v>
      </c>
      <c r="AA103" s="57" t="s">
        <v>250</v>
      </c>
      <c r="AC103" s="50"/>
      <c r="AD103" s="59" t="s">
        <v>188</v>
      </c>
      <c r="AE103" s="1">
        <v>3</v>
      </c>
      <c r="AF103" s="56">
        <v>45471</v>
      </c>
      <c r="AG103" s="50">
        <v>0</v>
      </c>
      <c r="AH103" s="50">
        <v>0</v>
      </c>
      <c r="AI103" s="50">
        <f t="shared" si="63"/>
        <v>0</v>
      </c>
      <c r="AJ103" s="50" t="s">
        <v>250</v>
      </c>
      <c r="AK103" s="57" t="s">
        <v>250</v>
      </c>
      <c r="AM103" s="50"/>
      <c r="AN103" s="59" t="s">
        <v>188</v>
      </c>
      <c r="AO103" s="1">
        <v>4</v>
      </c>
      <c r="AP103" s="56">
        <v>45479</v>
      </c>
      <c r="AQ103" s="50">
        <v>0</v>
      </c>
      <c r="AR103" s="50">
        <v>0</v>
      </c>
      <c r="AS103" s="50">
        <f t="shared" si="95"/>
        <v>0</v>
      </c>
      <c r="AT103" s="50" t="s">
        <v>250</v>
      </c>
      <c r="AU103" s="57" t="s">
        <v>250</v>
      </c>
      <c r="AW103" s="50"/>
      <c r="AX103" s="59" t="s">
        <v>188</v>
      </c>
      <c r="AY103" s="1">
        <v>5</v>
      </c>
      <c r="AZ103" s="56">
        <v>45485</v>
      </c>
      <c r="BA103" s="50">
        <v>0</v>
      </c>
      <c r="BB103" s="50">
        <v>0</v>
      </c>
      <c r="BC103" s="50">
        <f t="shared" ref="BC103:BC104" si="100">SUM(BA103+BB103)</f>
        <v>0</v>
      </c>
      <c r="BD103" s="50" t="s">
        <v>250</v>
      </c>
      <c r="BE103" s="57" t="s">
        <v>250</v>
      </c>
      <c r="BG103" s="50"/>
      <c r="BH103" s="59" t="s">
        <v>188</v>
      </c>
      <c r="BI103" s="1">
        <v>6</v>
      </c>
      <c r="BJ103" s="56">
        <v>45475</v>
      </c>
      <c r="BK103" s="50">
        <v>0</v>
      </c>
      <c r="BL103" s="50">
        <v>0</v>
      </c>
      <c r="BM103" s="50">
        <f t="shared" si="73"/>
        <v>0</v>
      </c>
      <c r="BN103" s="50" t="s">
        <v>250</v>
      </c>
      <c r="BO103" s="57" t="s">
        <v>250</v>
      </c>
      <c r="BQ103" s="50"/>
      <c r="BR103" s="59" t="s">
        <v>188</v>
      </c>
      <c r="BS103" s="1">
        <v>7</v>
      </c>
      <c r="BT103" s="56">
        <v>45499</v>
      </c>
      <c r="BU103" s="50">
        <v>0</v>
      </c>
      <c r="BV103" s="50">
        <v>0</v>
      </c>
      <c r="BW103" s="50">
        <f t="shared" ref="BW103:BW104" si="101">SUM(BU103+BV103)</f>
        <v>0</v>
      </c>
      <c r="BX103" s="50" t="s">
        <v>250</v>
      </c>
      <c r="BY103" s="50" t="s">
        <v>250</v>
      </c>
      <c r="CC103" s="75" t="s">
        <v>188</v>
      </c>
      <c r="CD103" s="76">
        <f t="shared" si="74"/>
        <v>0</v>
      </c>
    </row>
    <row r="104" spans="1:82" ht="14.4" x14ac:dyDescent="0.3">
      <c r="A104" s="50" t="s">
        <v>246</v>
      </c>
      <c r="B104" s="50" t="s">
        <v>69</v>
      </c>
      <c r="C104" s="68">
        <v>32.51699</v>
      </c>
      <c r="D104" s="68">
        <v>-83.407669999999996</v>
      </c>
      <c r="E104" s="70">
        <v>45450</v>
      </c>
      <c r="F104" s="70">
        <v>45450</v>
      </c>
      <c r="G104" s="67">
        <v>45499</v>
      </c>
      <c r="H104" s="1" t="s">
        <v>25</v>
      </c>
      <c r="I104" s="1" t="s">
        <v>26</v>
      </c>
      <c r="J104" s="59" t="s">
        <v>189</v>
      </c>
      <c r="K104" s="6">
        <v>1</v>
      </c>
      <c r="L104" s="56">
        <v>45457</v>
      </c>
      <c r="M104" s="50">
        <v>0</v>
      </c>
      <c r="N104" s="50">
        <v>0</v>
      </c>
      <c r="O104" s="50">
        <f t="shared" si="52"/>
        <v>0</v>
      </c>
      <c r="P104" s="50" t="s">
        <v>250</v>
      </c>
      <c r="Q104" s="57" t="s">
        <v>250</v>
      </c>
      <c r="T104" s="59" t="s">
        <v>189</v>
      </c>
      <c r="U104" s="6">
        <v>2</v>
      </c>
      <c r="V104" s="56">
        <v>45464</v>
      </c>
      <c r="W104" s="50">
        <v>0</v>
      </c>
      <c r="X104" s="50">
        <v>0</v>
      </c>
      <c r="Y104" s="50">
        <f>SUM(W104+X104)</f>
        <v>0</v>
      </c>
      <c r="Z104" s="50" t="s">
        <v>250</v>
      </c>
      <c r="AA104" s="57" t="s">
        <v>250</v>
      </c>
      <c r="AC104" s="50"/>
      <c r="AD104" s="59" t="s">
        <v>189</v>
      </c>
      <c r="AE104" s="1">
        <v>3</v>
      </c>
      <c r="AF104" s="56">
        <v>45471</v>
      </c>
      <c r="AG104" s="50">
        <v>0</v>
      </c>
      <c r="AH104" s="50">
        <v>0</v>
      </c>
      <c r="AI104" s="50">
        <f t="shared" ref="AI104" si="102">SUM(AG104+AH104)</f>
        <v>0</v>
      </c>
      <c r="AJ104" s="50" t="s">
        <v>250</v>
      </c>
      <c r="AK104" s="57" t="s">
        <v>250</v>
      </c>
      <c r="AM104" s="50"/>
      <c r="AN104" s="59" t="s">
        <v>189</v>
      </c>
      <c r="AO104" s="1">
        <v>4</v>
      </c>
      <c r="AP104" s="56">
        <v>45479</v>
      </c>
      <c r="AQ104" s="50">
        <v>2</v>
      </c>
      <c r="AR104" s="50">
        <v>2</v>
      </c>
      <c r="AS104" s="50">
        <f t="shared" si="60"/>
        <v>4</v>
      </c>
      <c r="AT104" s="50" t="s">
        <v>252</v>
      </c>
      <c r="AU104" s="57" t="s">
        <v>250</v>
      </c>
      <c r="AW104" s="50"/>
      <c r="AX104" s="59" t="s">
        <v>189</v>
      </c>
      <c r="AY104" s="1">
        <v>5</v>
      </c>
      <c r="AZ104" s="56">
        <v>45485</v>
      </c>
      <c r="BA104" s="50">
        <v>9</v>
      </c>
      <c r="BB104" s="50">
        <v>0</v>
      </c>
      <c r="BC104" s="50">
        <f t="shared" si="100"/>
        <v>9</v>
      </c>
      <c r="BD104" s="50" t="s">
        <v>252</v>
      </c>
      <c r="BE104" s="57" t="s">
        <v>252</v>
      </c>
      <c r="BG104" s="50"/>
      <c r="BH104" s="59" t="s">
        <v>189</v>
      </c>
      <c r="BI104" s="1">
        <v>6</v>
      </c>
      <c r="BJ104" s="56">
        <v>45492</v>
      </c>
      <c r="BK104" s="50">
        <v>3</v>
      </c>
      <c r="BL104" s="50">
        <v>0</v>
      </c>
      <c r="BM104" s="50">
        <f t="shared" si="73"/>
        <v>3</v>
      </c>
      <c r="BN104" s="50" t="s">
        <v>252</v>
      </c>
      <c r="BO104" s="57" t="s">
        <v>252</v>
      </c>
      <c r="BQ104" s="50"/>
      <c r="BR104" s="59" t="s">
        <v>189</v>
      </c>
      <c r="BS104" s="1">
        <v>7</v>
      </c>
      <c r="BT104" s="56">
        <v>45499</v>
      </c>
      <c r="BU104" s="50">
        <v>0</v>
      </c>
      <c r="BV104" s="50">
        <v>1</v>
      </c>
      <c r="BW104" s="50">
        <f t="shared" si="101"/>
        <v>1</v>
      </c>
      <c r="BX104" s="50" t="s">
        <v>252</v>
      </c>
      <c r="BY104" s="50" t="s">
        <v>250</v>
      </c>
      <c r="CC104" s="75" t="s">
        <v>189</v>
      </c>
      <c r="CD104" s="76">
        <f t="shared" si="74"/>
        <v>17</v>
      </c>
    </row>
    <row r="105" spans="1:82" ht="14.4" x14ac:dyDescent="0.3">
      <c r="A105" s="50" t="s">
        <v>190</v>
      </c>
      <c r="B105" s="50" t="s">
        <v>69</v>
      </c>
      <c r="C105" s="68">
        <v>32.519779999999997</v>
      </c>
      <c r="D105" s="68">
        <v>-83.385990000000007</v>
      </c>
      <c r="E105" s="70">
        <v>45436</v>
      </c>
      <c r="F105" s="70">
        <v>45450</v>
      </c>
      <c r="G105" s="67">
        <v>45499</v>
      </c>
      <c r="H105" s="1" t="s">
        <v>25</v>
      </c>
      <c r="I105" s="1" t="s">
        <v>26</v>
      </c>
      <c r="J105" s="59" t="s">
        <v>190</v>
      </c>
      <c r="K105" s="6">
        <v>1</v>
      </c>
      <c r="L105" s="56">
        <v>45457</v>
      </c>
      <c r="M105" s="50">
        <v>0</v>
      </c>
      <c r="N105" s="50">
        <v>0</v>
      </c>
      <c r="O105" s="50">
        <f t="shared" si="52"/>
        <v>0</v>
      </c>
      <c r="P105" s="50" t="s">
        <v>250</v>
      </c>
      <c r="Q105" s="57" t="s">
        <v>250</v>
      </c>
      <c r="T105" s="59" t="s">
        <v>190</v>
      </c>
      <c r="U105" s="6">
        <v>2</v>
      </c>
      <c r="V105" s="56">
        <v>45464</v>
      </c>
      <c r="W105" s="50">
        <v>1</v>
      </c>
      <c r="X105" s="50">
        <v>2</v>
      </c>
      <c r="Y105" s="50">
        <f t="shared" si="53"/>
        <v>3</v>
      </c>
      <c r="Z105" s="50" t="s">
        <v>250</v>
      </c>
      <c r="AA105" s="57" t="s">
        <v>250</v>
      </c>
      <c r="AB105" s="50" t="s">
        <v>291</v>
      </c>
      <c r="AC105" s="50"/>
      <c r="AD105" s="59" t="s">
        <v>190</v>
      </c>
      <c r="AE105" s="1">
        <v>3</v>
      </c>
      <c r="AF105" s="56">
        <v>45471</v>
      </c>
      <c r="AG105" s="50">
        <v>0</v>
      </c>
      <c r="AH105" s="50">
        <v>1</v>
      </c>
      <c r="AI105" s="50">
        <f t="shared" si="63"/>
        <v>1</v>
      </c>
      <c r="AJ105" s="50" t="s">
        <v>261</v>
      </c>
      <c r="AK105" s="57" t="s">
        <v>250</v>
      </c>
      <c r="AM105" s="50"/>
      <c r="AN105" s="59" t="s">
        <v>190</v>
      </c>
      <c r="AO105" s="1">
        <v>4</v>
      </c>
      <c r="AP105" s="56">
        <v>45479</v>
      </c>
      <c r="AQ105" s="50">
        <v>2</v>
      </c>
      <c r="AR105" s="50">
        <v>1</v>
      </c>
      <c r="AS105" s="50">
        <f t="shared" si="60"/>
        <v>3</v>
      </c>
      <c r="AT105" s="50" t="s">
        <v>252</v>
      </c>
      <c r="AU105" s="57" t="s">
        <v>250</v>
      </c>
      <c r="AW105" s="50"/>
      <c r="AX105" s="59" t="s">
        <v>190</v>
      </c>
      <c r="AY105" s="1">
        <v>5</v>
      </c>
      <c r="AZ105" s="56">
        <v>45485</v>
      </c>
      <c r="BA105" s="50">
        <v>0</v>
      </c>
      <c r="BB105" s="50">
        <v>0</v>
      </c>
      <c r="BC105" s="50">
        <f t="shared" ref="BC105:BC106" si="103">SUM(BA105+BB105)</f>
        <v>0</v>
      </c>
      <c r="BD105" s="50" t="s">
        <v>250</v>
      </c>
      <c r="BE105" s="57" t="s">
        <v>250</v>
      </c>
      <c r="BG105" s="50"/>
      <c r="BH105" s="59" t="s">
        <v>190</v>
      </c>
      <c r="BI105" s="1">
        <v>6</v>
      </c>
      <c r="BJ105" s="56">
        <v>45492</v>
      </c>
      <c r="BK105" s="50">
        <v>1</v>
      </c>
      <c r="BL105" s="50">
        <v>1</v>
      </c>
      <c r="BM105" s="50">
        <f t="shared" si="73"/>
        <v>2</v>
      </c>
      <c r="BN105" s="50" t="s">
        <v>252</v>
      </c>
      <c r="BO105" s="57" t="s">
        <v>250</v>
      </c>
      <c r="BQ105" s="50"/>
      <c r="BR105" s="59" t="s">
        <v>190</v>
      </c>
      <c r="BS105" s="1">
        <v>7</v>
      </c>
      <c r="BT105" s="56">
        <v>45499</v>
      </c>
      <c r="BU105" s="50">
        <v>1</v>
      </c>
      <c r="BV105" s="50">
        <v>2</v>
      </c>
      <c r="BW105" s="50">
        <f t="shared" si="72"/>
        <v>3</v>
      </c>
      <c r="BX105" s="50" t="s">
        <v>252</v>
      </c>
      <c r="BY105" s="50" t="s">
        <v>252</v>
      </c>
      <c r="CC105" s="75" t="s">
        <v>190</v>
      </c>
      <c r="CD105" s="76">
        <f t="shared" si="74"/>
        <v>12</v>
      </c>
    </row>
    <row r="106" spans="1:82" ht="14.4" x14ac:dyDescent="0.3">
      <c r="A106" s="50" t="s">
        <v>191</v>
      </c>
      <c r="B106" s="50" t="s">
        <v>69</v>
      </c>
      <c r="C106" s="68">
        <v>32.532049999999998</v>
      </c>
      <c r="D106" s="68">
        <v>-83.402289999999994</v>
      </c>
      <c r="E106" s="70">
        <v>45436</v>
      </c>
      <c r="F106" s="70">
        <v>45450</v>
      </c>
      <c r="G106" s="67">
        <v>45499</v>
      </c>
      <c r="H106" s="1" t="s">
        <v>25</v>
      </c>
      <c r="I106" s="1" t="s">
        <v>26</v>
      </c>
      <c r="J106" s="59" t="s">
        <v>191</v>
      </c>
      <c r="K106" s="6">
        <v>1</v>
      </c>
      <c r="L106" s="56">
        <v>45457</v>
      </c>
      <c r="M106" s="50">
        <v>1</v>
      </c>
      <c r="N106" s="50">
        <v>0</v>
      </c>
      <c r="O106" s="50">
        <f t="shared" si="52"/>
        <v>1</v>
      </c>
      <c r="P106" s="50" t="s">
        <v>252</v>
      </c>
      <c r="Q106" s="57" t="s">
        <v>250</v>
      </c>
      <c r="T106" s="59" t="s">
        <v>191</v>
      </c>
      <c r="U106" s="6">
        <v>2</v>
      </c>
      <c r="V106" s="56">
        <v>45464</v>
      </c>
      <c r="W106" s="50">
        <v>7</v>
      </c>
      <c r="X106" s="50">
        <v>5</v>
      </c>
      <c r="Y106" s="50">
        <f t="shared" si="53"/>
        <v>12</v>
      </c>
      <c r="Z106" s="50" t="s">
        <v>252</v>
      </c>
      <c r="AA106" s="57" t="s">
        <v>250</v>
      </c>
      <c r="AB106" s="50" t="s">
        <v>292</v>
      </c>
      <c r="AC106" s="50"/>
      <c r="AD106" s="59" t="s">
        <v>191</v>
      </c>
      <c r="AE106" s="1">
        <v>3</v>
      </c>
      <c r="AF106" s="56">
        <v>45471</v>
      </c>
      <c r="AG106" s="50">
        <v>1</v>
      </c>
      <c r="AH106" s="50">
        <v>0</v>
      </c>
      <c r="AI106" s="50">
        <f t="shared" si="63"/>
        <v>1</v>
      </c>
      <c r="AJ106" s="50" t="s">
        <v>261</v>
      </c>
      <c r="AK106" s="57" t="s">
        <v>250</v>
      </c>
      <c r="AM106" s="50"/>
      <c r="AN106" s="59" t="s">
        <v>191</v>
      </c>
      <c r="AO106" s="1">
        <v>4</v>
      </c>
      <c r="AP106" s="56">
        <v>45479</v>
      </c>
      <c r="AQ106" s="50">
        <v>1</v>
      </c>
      <c r="AR106" s="50">
        <v>0</v>
      </c>
      <c r="AS106" s="50">
        <f t="shared" si="60"/>
        <v>1</v>
      </c>
      <c r="AT106" s="50" t="s">
        <v>261</v>
      </c>
      <c r="AU106" s="57" t="s">
        <v>250</v>
      </c>
      <c r="AW106" s="50"/>
      <c r="AX106" s="59" t="s">
        <v>191</v>
      </c>
      <c r="AY106" s="1">
        <v>5</v>
      </c>
      <c r="AZ106" s="56">
        <v>45485</v>
      </c>
      <c r="BA106" s="50">
        <v>9</v>
      </c>
      <c r="BB106" s="50">
        <v>0</v>
      </c>
      <c r="BC106" s="50">
        <f t="shared" si="103"/>
        <v>9</v>
      </c>
      <c r="BD106" s="50" t="s">
        <v>252</v>
      </c>
      <c r="BE106" s="57" t="s">
        <v>250</v>
      </c>
      <c r="BG106" s="50"/>
      <c r="BH106" s="59" t="s">
        <v>191</v>
      </c>
      <c r="BI106" s="1">
        <v>6</v>
      </c>
      <c r="BJ106" s="56">
        <v>45492</v>
      </c>
      <c r="BK106" s="50">
        <v>7</v>
      </c>
      <c r="BL106" s="50">
        <v>0</v>
      </c>
      <c r="BM106" s="50">
        <f t="shared" si="73"/>
        <v>7</v>
      </c>
      <c r="BN106" s="50" t="s">
        <v>252</v>
      </c>
      <c r="BO106" s="57" t="s">
        <v>250</v>
      </c>
      <c r="BQ106" s="50"/>
      <c r="BR106" s="59" t="s">
        <v>191</v>
      </c>
      <c r="BS106" s="1">
        <v>7</v>
      </c>
      <c r="BT106" s="56">
        <v>45499</v>
      </c>
      <c r="BU106" s="50">
        <v>2</v>
      </c>
      <c r="BV106" s="50">
        <v>1</v>
      </c>
      <c r="BW106" s="50">
        <f t="shared" si="72"/>
        <v>3</v>
      </c>
      <c r="BX106" s="50" t="s">
        <v>252</v>
      </c>
      <c r="BY106" s="50" t="s">
        <v>250</v>
      </c>
      <c r="CC106" s="75" t="s">
        <v>191</v>
      </c>
      <c r="CD106" s="76">
        <f t="shared" si="74"/>
        <v>34</v>
      </c>
    </row>
    <row r="107" spans="1:82" ht="14.4" x14ac:dyDescent="0.3">
      <c r="A107" s="50" t="s">
        <v>192</v>
      </c>
      <c r="B107" s="50" t="s">
        <v>69</v>
      </c>
      <c r="C107" s="68">
        <v>32.53434</v>
      </c>
      <c r="D107" s="68">
        <v>-83.386840000000007</v>
      </c>
      <c r="E107" s="70">
        <v>45436</v>
      </c>
      <c r="F107" s="70">
        <v>45450</v>
      </c>
      <c r="G107" s="67">
        <v>45499</v>
      </c>
      <c r="H107" s="1" t="s">
        <v>25</v>
      </c>
      <c r="I107" s="1" t="s">
        <v>26</v>
      </c>
      <c r="J107" s="59" t="s">
        <v>192</v>
      </c>
      <c r="K107" s="6">
        <v>1</v>
      </c>
      <c r="L107" s="56">
        <v>45457</v>
      </c>
      <c r="M107" s="50">
        <v>0</v>
      </c>
      <c r="N107" s="50">
        <v>0</v>
      </c>
      <c r="O107" s="50">
        <f t="shared" si="52"/>
        <v>0</v>
      </c>
      <c r="P107" s="50" t="s">
        <v>250</v>
      </c>
      <c r="Q107" s="57" t="s">
        <v>250</v>
      </c>
      <c r="T107" s="59" t="s">
        <v>192</v>
      </c>
      <c r="U107" s="6">
        <v>2</v>
      </c>
      <c r="V107" s="56">
        <v>45464</v>
      </c>
      <c r="W107" s="50">
        <v>0</v>
      </c>
      <c r="X107" s="50">
        <v>0</v>
      </c>
      <c r="Y107" s="50">
        <f t="shared" si="53"/>
        <v>0</v>
      </c>
      <c r="Z107" s="50" t="s">
        <v>250</v>
      </c>
      <c r="AA107" s="57" t="s">
        <v>250</v>
      </c>
      <c r="AC107" s="50"/>
      <c r="AD107" s="59" t="s">
        <v>192</v>
      </c>
      <c r="AE107" s="1">
        <v>3</v>
      </c>
      <c r="AF107" s="56">
        <v>45471</v>
      </c>
      <c r="AG107" s="50">
        <v>0</v>
      </c>
      <c r="AH107" s="50">
        <v>0</v>
      </c>
      <c r="AI107" s="50">
        <f t="shared" si="63"/>
        <v>0</v>
      </c>
      <c r="AJ107" s="50" t="s">
        <v>250</v>
      </c>
      <c r="AK107" s="57" t="s">
        <v>250</v>
      </c>
      <c r="AM107" s="50"/>
      <c r="AN107" s="59" t="s">
        <v>192</v>
      </c>
      <c r="AO107" s="1">
        <v>4</v>
      </c>
      <c r="AP107" s="56">
        <v>45479</v>
      </c>
      <c r="AQ107" s="50">
        <v>0</v>
      </c>
      <c r="AR107" s="50">
        <v>0</v>
      </c>
      <c r="AS107" s="50">
        <f t="shared" si="60"/>
        <v>0</v>
      </c>
      <c r="AT107" s="50" t="s">
        <v>250</v>
      </c>
      <c r="AU107" s="57" t="s">
        <v>250</v>
      </c>
      <c r="AW107" s="50"/>
      <c r="AX107" s="59" t="s">
        <v>192</v>
      </c>
      <c r="AY107" s="1">
        <v>5</v>
      </c>
      <c r="AZ107" s="56">
        <v>45485</v>
      </c>
      <c r="BA107" s="50">
        <v>0</v>
      </c>
      <c r="BB107" s="50">
        <v>0</v>
      </c>
      <c r="BC107" s="50">
        <f t="shared" si="56"/>
        <v>0</v>
      </c>
      <c r="BD107" s="50" t="s">
        <v>250</v>
      </c>
      <c r="BE107" s="57" t="s">
        <v>250</v>
      </c>
      <c r="BG107" s="50"/>
      <c r="BH107" s="59" t="s">
        <v>192</v>
      </c>
      <c r="BI107" s="1">
        <v>6</v>
      </c>
      <c r="BJ107" s="56">
        <v>45492</v>
      </c>
      <c r="BK107" s="50">
        <v>0</v>
      </c>
      <c r="BL107" s="50">
        <v>0</v>
      </c>
      <c r="BM107" s="50">
        <f t="shared" si="73"/>
        <v>0</v>
      </c>
      <c r="BN107" s="50" t="s">
        <v>250</v>
      </c>
      <c r="BO107" s="57" t="s">
        <v>250</v>
      </c>
      <c r="BQ107" s="50"/>
      <c r="BR107" s="59" t="s">
        <v>192</v>
      </c>
      <c r="BS107" s="1">
        <v>7</v>
      </c>
      <c r="BT107" s="56">
        <v>45499</v>
      </c>
      <c r="BU107" s="50">
        <v>0</v>
      </c>
      <c r="BV107" s="50">
        <v>0</v>
      </c>
      <c r="BW107" s="50">
        <f t="shared" si="72"/>
        <v>0</v>
      </c>
      <c r="BX107" s="50" t="s">
        <v>250</v>
      </c>
      <c r="BY107" s="50" t="s">
        <v>250</v>
      </c>
      <c r="CC107" s="75" t="s">
        <v>192</v>
      </c>
      <c r="CD107" s="76">
        <f t="shared" si="74"/>
        <v>0</v>
      </c>
    </row>
    <row r="108" spans="1:82" ht="14.4" x14ac:dyDescent="0.3">
      <c r="A108" s="50" t="s">
        <v>193</v>
      </c>
      <c r="B108" s="50" t="s">
        <v>304</v>
      </c>
      <c r="C108" s="68">
        <v>32.540990000000001</v>
      </c>
      <c r="D108" s="68">
        <v>-83.51173</v>
      </c>
      <c r="E108" s="70">
        <v>45436</v>
      </c>
      <c r="F108" s="70">
        <v>45446</v>
      </c>
      <c r="G108" s="67">
        <v>45495</v>
      </c>
      <c r="H108" s="1" t="s">
        <v>25</v>
      </c>
      <c r="I108" s="1" t="s">
        <v>26</v>
      </c>
      <c r="J108" s="59" t="s">
        <v>193</v>
      </c>
      <c r="K108" s="6">
        <v>1</v>
      </c>
      <c r="L108" s="56">
        <v>45453</v>
      </c>
      <c r="M108" s="50">
        <v>0</v>
      </c>
      <c r="N108" s="50">
        <v>0</v>
      </c>
      <c r="O108" s="50">
        <f t="shared" si="52"/>
        <v>0</v>
      </c>
      <c r="P108" s="50" t="s">
        <v>250</v>
      </c>
      <c r="Q108" s="50" t="s">
        <v>250</v>
      </c>
      <c r="T108" s="59" t="s">
        <v>193</v>
      </c>
      <c r="U108" s="6">
        <v>2</v>
      </c>
      <c r="V108" s="56">
        <v>45460</v>
      </c>
      <c r="W108" s="50">
        <v>0</v>
      </c>
      <c r="X108" s="50">
        <v>0</v>
      </c>
      <c r="Y108" s="50">
        <f>SUM(W108+X108)</f>
        <v>0</v>
      </c>
      <c r="Z108" s="50" t="s">
        <v>250</v>
      </c>
      <c r="AA108" s="57" t="s">
        <v>250</v>
      </c>
      <c r="AC108" s="50"/>
      <c r="AD108" s="59" t="s">
        <v>193</v>
      </c>
      <c r="AE108" s="1">
        <v>3</v>
      </c>
      <c r="AF108" s="56">
        <v>45467</v>
      </c>
      <c r="AG108" s="50">
        <v>0</v>
      </c>
      <c r="AH108" s="50">
        <v>0</v>
      </c>
      <c r="AI108" s="50">
        <f t="shared" ref="AI108" si="104">SUM(AG108+AH108)</f>
        <v>0</v>
      </c>
      <c r="AJ108" s="50" t="s">
        <v>250</v>
      </c>
      <c r="AK108" s="57" t="s">
        <v>250</v>
      </c>
      <c r="AM108" s="50"/>
      <c r="AN108" s="59" t="s">
        <v>193</v>
      </c>
      <c r="AO108" s="1">
        <v>4</v>
      </c>
      <c r="AP108" s="56">
        <v>45474</v>
      </c>
      <c r="AQ108" s="50">
        <v>0</v>
      </c>
      <c r="AR108" s="50">
        <v>0</v>
      </c>
      <c r="AS108" s="50">
        <f t="shared" ref="AS108:AS109" si="105">SUM(AQ108+AR108)</f>
        <v>0</v>
      </c>
      <c r="AT108" s="50" t="s">
        <v>250</v>
      </c>
      <c r="AU108" s="57" t="s">
        <v>250</v>
      </c>
      <c r="AW108" s="50"/>
      <c r="AX108" s="59" t="s">
        <v>193</v>
      </c>
      <c r="AY108" s="1">
        <v>5</v>
      </c>
      <c r="AZ108" s="56">
        <v>45481</v>
      </c>
      <c r="BA108" s="50">
        <v>0</v>
      </c>
      <c r="BB108" s="50">
        <v>0</v>
      </c>
      <c r="BC108" s="50">
        <f t="shared" si="56"/>
        <v>0</v>
      </c>
      <c r="BD108" s="50" t="s">
        <v>250</v>
      </c>
      <c r="BE108" s="57" t="s">
        <v>250</v>
      </c>
      <c r="BG108" s="50"/>
      <c r="BH108" s="59" t="s">
        <v>193</v>
      </c>
      <c r="BI108" s="1">
        <v>6</v>
      </c>
      <c r="BJ108" s="56">
        <v>45488</v>
      </c>
      <c r="BK108" s="50">
        <v>0</v>
      </c>
      <c r="BL108" s="50">
        <v>0</v>
      </c>
      <c r="BM108" s="50">
        <f t="shared" ref="BM108:BM109" si="106">SUM(BK108+BL108)</f>
        <v>0</v>
      </c>
      <c r="BN108" s="50" t="s">
        <v>250</v>
      </c>
      <c r="BO108" s="57" t="s">
        <v>250</v>
      </c>
      <c r="BQ108" s="50"/>
      <c r="BR108" s="59" t="s">
        <v>193</v>
      </c>
      <c r="BS108" s="1">
        <v>7</v>
      </c>
      <c r="BT108" s="56">
        <v>45495</v>
      </c>
      <c r="BU108" s="50">
        <v>0</v>
      </c>
      <c r="BV108" s="50">
        <v>0</v>
      </c>
      <c r="BW108" s="50">
        <f t="shared" si="72"/>
        <v>0</v>
      </c>
      <c r="BX108" s="50" t="s">
        <v>250</v>
      </c>
      <c r="BY108" s="50" t="s">
        <v>250</v>
      </c>
      <c r="CC108" s="75" t="s">
        <v>193</v>
      </c>
      <c r="CD108" s="76">
        <f t="shared" si="74"/>
        <v>0</v>
      </c>
    </row>
    <row r="109" spans="1:82" ht="14.4" x14ac:dyDescent="0.3">
      <c r="A109" s="50" t="s">
        <v>195</v>
      </c>
      <c r="B109" s="50" t="s">
        <v>96</v>
      </c>
      <c r="C109" s="68">
        <v>32.545960000000001</v>
      </c>
      <c r="D109" s="68">
        <v>-83.524850000000001</v>
      </c>
      <c r="E109" s="70">
        <v>45441</v>
      </c>
      <c r="F109" s="70">
        <v>45446</v>
      </c>
      <c r="G109" s="67">
        <v>45495</v>
      </c>
      <c r="H109" s="1" t="s">
        <v>25</v>
      </c>
      <c r="I109" s="1" t="s">
        <v>26</v>
      </c>
      <c r="J109" s="59" t="s">
        <v>195</v>
      </c>
      <c r="K109" s="6">
        <v>1</v>
      </c>
      <c r="L109" s="56">
        <v>45453</v>
      </c>
      <c r="M109" s="50">
        <v>0</v>
      </c>
      <c r="N109" s="50">
        <v>0</v>
      </c>
      <c r="O109" s="50">
        <f t="shared" si="52"/>
        <v>0</v>
      </c>
      <c r="P109" s="50" t="s">
        <v>250</v>
      </c>
      <c r="Q109" s="50" t="s">
        <v>250</v>
      </c>
      <c r="T109" s="59" t="s">
        <v>195</v>
      </c>
      <c r="U109" s="6">
        <v>2</v>
      </c>
      <c r="V109" s="56">
        <v>45460</v>
      </c>
      <c r="W109" s="50">
        <v>0</v>
      </c>
      <c r="X109" s="50">
        <v>0</v>
      </c>
      <c r="Y109" s="50">
        <f>SUM(W109+X109)</f>
        <v>0</v>
      </c>
      <c r="Z109" s="50" t="s">
        <v>250</v>
      </c>
      <c r="AA109" s="57" t="s">
        <v>250</v>
      </c>
      <c r="AC109" s="50"/>
      <c r="AD109" s="59" t="s">
        <v>195</v>
      </c>
      <c r="AE109" s="1">
        <v>3</v>
      </c>
      <c r="AF109" s="56">
        <v>45467</v>
      </c>
      <c r="AG109" s="50">
        <v>0</v>
      </c>
      <c r="AH109" s="50">
        <v>1</v>
      </c>
      <c r="AI109" s="50">
        <f t="shared" si="63"/>
        <v>1</v>
      </c>
      <c r="AJ109" s="50" t="s">
        <v>261</v>
      </c>
      <c r="AK109" s="57" t="s">
        <v>250</v>
      </c>
      <c r="AM109" s="50"/>
      <c r="AN109" s="59" t="s">
        <v>195</v>
      </c>
      <c r="AO109" s="1">
        <v>4</v>
      </c>
      <c r="AP109" s="56">
        <v>45474</v>
      </c>
      <c r="AQ109" s="50">
        <v>0</v>
      </c>
      <c r="AR109" s="50">
        <v>1</v>
      </c>
      <c r="AS109" s="50">
        <f t="shared" si="105"/>
        <v>1</v>
      </c>
      <c r="AT109" s="50" t="s">
        <v>261</v>
      </c>
      <c r="AU109" s="57" t="s">
        <v>250</v>
      </c>
      <c r="AW109" s="50"/>
      <c r="AX109" s="59" t="s">
        <v>195</v>
      </c>
      <c r="AY109" s="1">
        <v>5</v>
      </c>
      <c r="AZ109" s="56">
        <v>45481</v>
      </c>
      <c r="BA109" s="50">
        <v>0</v>
      </c>
      <c r="BB109" s="50">
        <v>3</v>
      </c>
      <c r="BC109" s="50">
        <f t="shared" si="56"/>
        <v>3</v>
      </c>
      <c r="BD109" s="50" t="s">
        <v>250</v>
      </c>
      <c r="BE109" s="57" t="s">
        <v>250</v>
      </c>
      <c r="BG109" s="50"/>
      <c r="BH109" s="59" t="s">
        <v>195</v>
      </c>
      <c r="BI109" s="1">
        <v>6</v>
      </c>
      <c r="BJ109" s="56">
        <v>45488</v>
      </c>
      <c r="BK109" s="50">
        <v>0</v>
      </c>
      <c r="BL109" s="50">
        <v>1</v>
      </c>
      <c r="BM109" s="50">
        <f t="shared" si="106"/>
        <v>1</v>
      </c>
      <c r="BN109" s="50" t="s">
        <v>250</v>
      </c>
      <c r="BO109" s="57" t="s">
        <v>250</v>
      </c>
      <c r="BQ109" s="50"/>
      <c r="BR109" s="59" t="s">
        <v>195</v>
      </c>
      <c r="BS109" s="1">
        <v>7</v>
      </c>
      <c r="BT109" s="56">
        <v>45495</v>
      </c>
      <c r="BU109" s="50">
        <v>0</v>
      </c>
      <c r="BV109" s="50">
        <v>0</v>
      </c>
      <c r="BW109" s="50">
        <f t="shared" ref="BW109:BW112" si="107">SUM(BU109+BV109)</f>
        <v>0</v>
      </c>
      <c r="BX109" s="50" t="s">
        <v>250</v>
      </c>
      <c r="BY109" s="50" t="s">
        <v>250</v>
      </c>
      <c r="CC109" s="75" t="s">
        <v>195</v>
      </c>
      <c r="CD109" s="76">
        <f t="shared" si="74"/>
        <v>6</v>
      </c>
    </row>
    <row r="110" spans="1:82" ht="14.4" x14ac:dyDescent="0.3">
      <c r="A110" s="50" t="s">
        <v>196</v>
      </c>
      <c r="B110" s="50" t="s">
        <v>62</v>
      </c>
      <c r="C110" s="68">
        <v>32.550269999999998</v>
      </c>
      <c r="D110" s="68">
        <v>-83.487560000000002</v>
      </c>
      <c r="E110" s="70">
        <v>45440</v>
      </c>
      <c r="F110" s="70">
        <v>45446</v>
      </c>
      <c r="G110" s="67">
        <v>45495</v>
      </c>
      <c r="H110" s="1" t="s">
        <v>25</v>
      </c>
      <c r="I110" s="1" t="s">
        <v>26</v>
      </c>
      <c r="J110" s="59" t="s">
        <v>196</v>
      </c>
      <c r="K110" s="6">
        <v>1</v>
      </c>
      <c r="L110" s="56">
        <v>45453</v>
      </c>
      <c r="M110" s="50">
        <v>1</v>
      </c>
      <c r="N110" s="50">
        <v>0</v>
      </c>
      <c r="O110" s="50">
        <f t="shared" si="52"/>
        <v>1</v>
      </c>
      <c r="P110" s="50" t="s">
        <v>252</v>
      </c>
      <c r="Q110" s="57" t="s">
        <v>250</v>
      </c>
      <c r="T110" s="59" t="s">
        <v>196</v>
      </c>
      <c r="U110" s="6">
        <v>2</v>
      </c>
      <c r="V110" s="56">
        <v>45460</v>
      </c>
      <c r="W110" s="50">
        <v>0</v>
      </c>
      <c r="X110" s="50">
        <v>0</v>
      </c>
      <c r="Y110" s="50">
        <f>SUM(W110+X110)</f>
        <v>0</v>
      </c>
      <c r="Z110" s="50" t="s">
        <v>250</v>
      </c>
      <c r="AA110" s="57" t="s">
        <v>250</v>
      </c>
      <c r="AC110" s="50"/>
      <c r="AD110" s="59" t="s">
        <v>196</v>
      </c>
      <c r="AE110" s="1">
        <v>3</v>
      </c>
      <c r="AF110" s="56">
        <v>45467</v>
      </c>
      <c r="AG110" s="50">
        <v>1</v>
      </c>
      <c r="AH110" s="50">
        <v>0</v>
      </c>
      <c r="AI110" s="50">
        <f t="shared" si="63"/>
        <v>1</v>
      </c>
      <c r="AJ110" s="50" t="s">
        <v>252</v>
      </c>
      <c r="AK110" s="57" t="s">
        <v>250</v>
      </c>
      <c r="AM110" s="50"/>
      <c r="AN110" s="59" t="s">
        <v>196</v>
      </c>
      <c r="AO110" s="1">
        <v>4</v>
      </c>
      <c r="AP110" s="56">
        <v>45474</v>
      </c>
      <c r="AQ110" s="50">
        <v>1</v>
      </c>
      <c r="AR110" s="50">
        <v>0</v>
      </c>
      <c r="AS110" s="50">
        <f t="shared" si="60"/>
        <v>1</v>
      </c>
      <c r="AT110" s="50" t="s">
        <v>252</v>
      </c>
      <c r="AU110" s="57" t="s">
        <v>250</v>
      </c>
      <c r="AW110" s="50"/>
      <c r="AX110" s="59" t="s">
        <v>196</v>
      </c>
      <c r="AY110" s="1">
        <v>5</v>
      </c>
      <c r="AZ110" s="56">
        <v>45481</v>
      </c>
      <c r="BA110" s="50">
        <v>0</v>
      </c>
      <c r="BB110" s="50">
        <v>0</v>
      </c>
      <c r="BC110" s="50">
        <f t="shared" si="56"/>
        <v>0</v>
      </c>
      <c r="BD110" s="50" t="s">
        <v>250</v>
      </c>
      <c r="BE110" s="57" t="s">
        <v>250</v>
      </c>
      <c r="BG110" s="50"/>
      <c r="BH110" s="59" t="s">
        <v>196</v>
      </c>
      <c r="BI110" s="1">
        <v>6</v>
      </c>
      <c r="BJ110" s="56">
        <v>45488</v>
      </c>
      <c r="BK110" s="50">
        <v>0</v>
      </c>
      <c r="BL110" s="50">
        <v>0</v>
      </c>
      <c r="BM110" s="50">
        <f t="shared" ref="BM110:BM111" si="108">SUM(BK110+BL110)</f>
        <v>0</v>
      </c>
      <c r="BN110" s="50" t="s">
        <v>250</v>
      </c>
      <c r="BO110" s="57" t="s">
        <v>250</v>
      </c>
      <c r="BQ110" s="50"/>
      <c r="BR110" s="59" t="s">
        <v>196</v>
      </c>
      <c r="BS110" s="1">
        <v>7</v>
      </c>
      <c r="BT110" s="56">
        <v>45495</v>
      </c>
      <c r="BU110" s="50">
        <v>0</v>
      </c>
      <c r="BV110" s="50">
        <v>0</v>
      </c>
      <c r="BW110" s="50">
        <f t="shared" si="107"/>
        <v>0</v>
      </c>
      <c r="BX110" s="50" t="s">
        <v>250</v>
      </c>
      <c r="BY110" s="50" t="s">
        <v>250</v>
      </c>
      <c r="CC110" s="75" t="s">
        <v>196</v>
      </c>
      <c r="CD110" s="76">
        <f t="shared" si="74"/>
        <v>3</v>
      </c>
    </row>
    <row r="111" spans="1:82" ht="14.4" x14ac:dyDescent="0.3">
      <c r="A111" s="50" t="s">
        <v>197</v>
      </c>
      <c r="B111" s="50" t="s">
        <v>198</v>
      </c>
      <c r="C111" s="68">
        <v>32.546970000000002</v>
      </c>
      <c r="D111" s="68">
        <v>-83.475930000000005</v>
      </c>
      <c r="E111" s="70">
        <v>45440</v>
      </c>
      <c r="F111" s="70">
        <v>45446</v>
      </c>
      <c r="G111" s="67">
        <v>45495</v>
      </c>
      <c r="H111" s="1" t="s">
        <v>25</v>
      </c>
      <c r="I111" s="1" t="s">
        <v>26</v>
      </c>
      <c r="J111" s="59" t="s">
        <v>197</v>
      </c>
      <c r="K111" s="6">
        <v>1</v>
      </c>
      <c r="L111" s="56">
        <v>45453</v>
      </c>
      <c r="M111" s="50">
        <v>4</v>
      </c>
      <c r="N111" s="50">
        <v>6</v>
      </c>
      <c r="O111" s="50">
        <f t="shared" si="52"/>
        <v>10</v>
      </c>
      <c r="P111" s="50" t="s">
        <v>252</v>
      </c>
      <c r="Q111" s="57" t="s">
        <v>252</v>
      </c>
      <c r="T111" s="59" t="s">
        <v>197</v>
      </c>
      <c r="U111" s="6">
        <v>2</v>
      </c>
      <c r="V111" s="56">
        <v>45460</v>
      </c>
      <c r="W111" s="50">
        <v>6</v>
      </c>
      <c r="X111" s="50">
        <v>3</v>
      </c>
      <c r="Y111" s="50">
        <f t="shared" si="53"/>
        <v>9</v>
      </c>
      <c r="Z111" s="50" t="s">
        <v>252</v>
      </c>
      <c r="AA111" s="57" t="s">
        <v>252</v>
      </c>
      <c r="AC111" s="50"/>
      <c r="AD111" s="59" t="s">
        <v>197</v>
      </c>
      <c r="AE111" s="1">
        <v>3</v>
      </c>
      <c r="AF111" s="56">
        <v>45467</v>
      </c>
      <c r="AG111" s="50">
        <v>0</v>
      </c>
      <c r="AH111" s="50">
        <v>3</v>
      </c>
      <c r="AI111" s="50">
        <f t="shared" si="63"/>
        <v>3</v>
      </c>
      <c r="AJ111" s="50" t="s">
        <v>252</v>
      </c>
      <c r="AK111" s="57" t="s">
        <v>252</v>
      </c>
      <c r="AM111" s="50"/>
      <c r="AN111" s="59" t="s">
        <v>197</v>
      </c>
      <c r="AO111" s="1">
        <v>4</v>
      </c>
      <c r="AP111" s="56">
        <v>45474</v>
      </c>
      <c r="AQ111" s="50">
        <v>0</v>
      </c>
      <c r="AR111" s="50">
        <v>0</v>
      </c>
      <c r="AS111" s="50">
        <f t="shared" si="60"/>
        <v>0</v>
      </c>
      <c r="AT111" s="50" t="s">
        <v>250</v>
      </c>
      <c r="AU111" s="57" t="s">
        <v>250</v>
      </c>
      <c r="AW111" s="50"/>
      <c r="AX111" s="59" t="s">
        <v>197</v>
      </c>
      <c r="AY111" s="1">
        <v>5</v>
      </c>
      <c r="AZ111" s="56">
        <v>45481</v>
      </c>
      <c r="BA111" s="50">
        <v>2</v>
      </c>
      <c r="BB111" s="50">
        <v>0</v>
      </c>
      <c r="BC111" s="50">
        <f t="shared" si="56"/>
        <v>2</v>
      </c>
      <c r="BD111" s="50" t="s">
        <v>252</v>
      </c>
      <c r="BE111" s="57" t="s">
        <v>252</v>
      </c>
      <c r="BG111" s="50"/>
      <c r="BH111" s="59" t="s">
        <v>197</v>
      </c>
      <c r="BI111" s="1">
        <v>6</v>
      </c>
      <c r="BJ111" s="56">
        <v>45488</v>
      </c>
      <c r="BK111" s="50">
        <v>5</v>
      </c>
      <c r="BL111" s="50">
        <v>4</v>
      </c>
      <c r="BM111" s="50">
        <f t="shared" si="108"/>
        <v>9</v>
      </c>
      <c r="BN111" s="50" t="s">
        <v>252</v>
      </c>
      <c r="BO111" s="57" t="s">
        <v>252</v>
      </c>
      <c r="BQ111" s="50"/>
      <c r="BR111" s="59" t="s">
        <v>197</v>
      </c>
      <c r="BS111" s="1">
        <v>7</v>
      </c>
      <c r="BT111" s="56">
        <v>45495</v>
      </c>
      <c r="BU111" s="50">
        <v>0</v>
      </c>
      <c r="BV111" s="50">
        <v>0</v>
      </c>
      <c r="BW111" s="50">
        <f t="shared" si="107"/>
        <v>0</v>
      </c>
      <c r="BX111" s="50" t="s">
        <v>250</v>
      </c>
      <c r="BY111" s="50" t="s">
        <v>250</v>
      </c>
      <c r="CC111" s="75" t="s">
        <v>197</v>
      </c>
      <c r="CD111" s="76">
        <f t="shared" si="74"/>
        <v>33</v>
      </c>
    </row>
    <row r="112" spans="1:82" ht="14.4" x14ac:dyDescent="0.3">
      <c r="A112" s="50" t="s">
        <v>199</v>
      </c>
      <c r="B112" s="50" t="s">
        <v>96</v>
      </c>
      <c r="C112" s="68">
        <v>32.550919999999998</v>
      </c>
      <c r="D112" s="68">
        <v>-83.457679999999996</v>
      </c>
      <c r="E112" s="70">
        <v>45432</v>
      </c>
      <c r="F112" s="70">
        <v>45446</v>
      </c>
      <c r="G112" s="67">
        <v>45501</v>
      </c>
      <c r="H112" s="1" t="s">
        <v>25</v>
      </c>
      <c r="I112" s="1" t="s">
        <v>26</v>
      </c>
      <c r="J112" s="59" t="s">
        <v>199</v>
      </c>
      <c r="K112" s="6">
        <v>1</v>
      </c>
      <c r="L112" s="56">
        <v>45453</v>
      </c>
      <c r="M112" s="50">
        <v>0</v>
      </c>
      <c r="N112" s="50">
        <v>1</v>
      </c>
      <c r="O112" s="50">
        <f t="shared" si="52"/>
        <v>1</v>
      </c>
      <c r="P112" s="50" t="s">
        <v>250</v>
      </c>
      <c r="Q112" s="57" t="s">
        <v>250</v>
      </c>
      <c r="R112" s="57" t="s">
        <v>253</v>
      </c>
      <c r="T112" s="59" t="s">
        <v>199</v>
      </c>
      <c r="U112" s="6">
        <v>2</v>
      </c>
      <c r="V112" s="56">
        <v>45460</v>
      </c>
      <c r="W112" s="50">
        <v>3</v>
      </c>
      <c r="X112" s="50">
        <v>0</v>
      </c>
      <c r="Y112" s="50">
        <f t="shared" si="53"/>
        <v>3</v>
      </c>
      <c r="Z112" s="50" t="s">
        <v>252</v>
      </c>
      <c r="AA112" s="57" t="s">
        <v>250</v>
      </c>
      <c r="AC112" s="50"/>
      <c r="AD112" s="59" t="s">
        <v>199</v>
      </c>
      <c r="AE112" s="1">
        <v>3</v>
      </c>
      <c r="AF112" s="56">
        <v>45467</v>
      </c>
      <c r="AG112" s="50">
        <v>0</v>
      </c>
      <c r="AH112" s="50">
        <v>0</v>
      </c>
      <c r="AI112" s="50">
        <f t="shared" si="63"/>
        <v>0</v>
      </c>
      <c r="AJ112" s="50" t="s">
        <v>250</v>
      </c>
      <c r="AK112" s="57" t="s">
        <v>250</v>
      </c>
      <c r="AM112" s="50"/>
      <c r="AN112" s="59" t="s">
        <v>199</v>
      </c>
      <c r="AO112" s="1">
        <v>4</v>
      </c>
      <c r="AP112" s="56">
        <v>45474</v>
      </c>
      <c r="AQ112" s="50">
        <v>0</v>
      </c>
      <c r="AR112" s="50">
        <v>0</v>
      </c>
      <c r="AS112" s="50">
        <f t="shared" si="60"/>
        <v>0</v>
      </c>
      <c r="AT112" s="50" t="s">
        <v>250</v>
      </c>
      <c r="AU112" s="57" t="s">
        <v>250</v>
      </c>
      <c r="AW112" s="50"/>
      <c r="AX112" s="59" t="s">
        <v>199</v>
      </c>
      <c r="AY112" s="1">
        <v>5</v>
      </c>
      <c r="AZ112" s="56">
        <v>45481</v>
      </c>
      <c r="BA112" s="50">
        <v>4</v>
      </c>
      <c r="BB112" s="50">
        <v>3</v>
      </c>
      <c r="BC112" s="50">
        <f t="shared" si="56"/>
        <v>7</v>
      </c>
      <c r="BD112" s="50" t="s">
        <v>252</v>
      </c>
      <c r="BE112" s="57" t="s">
        <v>250</v>
      </c>
      <c r="BG112" s="50"/>
      <c r="BH112" s="59" t="s">
        <v>199</v>
      </c>
      <c r="BI112" s="1">
        <v>6</v>
      </c>
      <c r="BJ112" s="56">
        <v>45488</v>
      </c>
      <c r="BK112" s="50">
        <v>1</v>
      </c>
      <c r="BL112" s="50">
        <v>1</v>
      </c>
      <c r="BM112" s="50">
        <f t="shared" si="73"/>
        <v>2</v>
      </c>
      <c r="BN112" s="50" t="s">
        <v>252</v>
      </c>
      <c r="BO112" s="57" t="s">
        <v>250</v>
      </c>
      <c r="BQ112" s="50"/>
      <c r="BR112" s="59" t="s">
        <v>199</v>
      </c>
      <c r="BS112" s="1">
        <v>7</v>
      </c>
      <c r="BT112" s="56">
        <v>45495</v>
      </c>
      <c r="BU112" s="50">
        <v>1</v>
      </c>
      <c r="BV112" s="50">
        <v>2</v>
      </c>
      <c r="BW112" s="50">
        <f t="shared" si="107"/>
        <v>3</v>
      </c>
      <c r="BX112" s="50" t="s">
        <v>252</v>
      </c>
      <c r="BY112" s="50" t="s">
        <v>250</v>
      </c>
      <c r="CC112" s="75" t="s">
        <v>199</v>
      </c>
      <c r="CD112" s="76">
        <f t="shared" si="74"/>
        <v>16</v>
      </c>
    </row>
    <row r="113" spans="1:82" ht="14.4" x14ac:dyDescent="0.3">
      <c r="A113" s="85" t="s">
        <v>200</v>
      </c>
      <c r="B113" s="85" t="s">
        <v>163</v>
      </c>
      <c r="C113" s="86"/>
      <c r="D113" s="86"/>
      <c r="E113" s="87"/>
      <c r="F113" s="87"/>
      <c r="G113" s="88"/>
      <c r="H113" s="89" t="s">
        <v>25</v>
      </c>
      <c r="I113" s="89" t="s">
        <v>26</v>
      </c>
      <c r="J113" s="90" t="s">
        <v>200</v>
      </c>
      <c r="K113" s="91">
        <v>1</v>
      </c>
      <c r="L113" s="92"/>
      <c r="M113" s="85"/>
      <c r="N113" s="85"/>
      <c r="O113" s="85">
        <f t="shared" si="52"/>
        <v>0</v>
      </c>
      <c r="P113" s="85"/>
      <c r="Q113" s="93"/>
      <c r="R113" s="93"/>
      <c r="S113" s="85"/>
      <c r="T113" s="90" t="s">
        <v>200</v>
      </c>
      <c r="U113" s="91">
        <v>2</v>
      </c>
      <c r="V113" s="92"/>
      <c r="W113" s="85"/>
      <c r="X113" s="85"/>
      <c r="Y113" s="85"/>
      <c r="Z113" s="85"/>
      <c r="AA113" s="93"/>
      <c r="AB113" s="85"/>
      <c r="AC113" s="85"/>
      <c r="AD113" s="90" t="s">
        <v>200</v>
      </c>
      <c r="AE113" s="89">
        <v>3</v>
      </c>
      <c r="AF113" s="92"/>
      <c r="AG113" s="85"/>
      <c r="AH113" s="85"/>
      <c r="AI113" s="85">
        <f t="shared" si="63"/>
        <v>0</v>
      </c>
      <c r="AJ113" s="85"/>
      <c r="AK113" s="93"/>
      <c r="AL113" s="85"/>
      <c r="AM113" s="85"/>
      <c r="AN113" s="90" t="s">
        <v>200</v>
      </c>
      <c r="AO113" s="89">
        <v>4</v>
      </c>
      <c r="AP113" s="92"/>
      <c r="AQ113" s="85"/>
      <c r="AR113" s="85"/>
      <c r="AS113" s="85">
        <f t="shared" si="60"/>
        <v>0</v>
      </c>
      <c r="AT113" s="85"/>
      <c r="AU113" s="93"/>
      <c r="AV113" s="85"/>
      <c r="AW113" s="85"/>
      <c r="AX113" s="90" t="s">
        <v>200</v>
      </c>
      <c r="AY113" s="89">
        <v>5</v>
      </c>
      <c r="AZ113" s="85"/>
      <c r="BA113" s="85"/>
      <c r="BB113" s="85"/>
      <c r="BC113" s="85">
        <f t="shared" si="56"/>
        <v>0</v>
      </c>
      <c r="BD113" s="85"/>
      <c r="BE113" s="93"/>
      <c r="BF113" s="85"/>
      <c r="BG113" s="85"/>
      <c r="BH113" s="90" t="s">
        <v>200</v>
      </c>
      <c r="BI113" s="89">
        <v>6</v>
      </c>
      <c r="BJ113" s="85"/>
      <c r="BK113" s="85"/>
      <c r="BL113" s="85"/>
      <c r="BM113" s="85">
        <f t="shared" si="73"/>
        <v>0</v>
      </c>
      <c r="BN113" s="85"/>
      <c r="BO113" s="93"/>
      <c r="BP113" s="85"/>
      <c r="BQ113" s="85"/>
      <c r="BR113" s="90" t="s">
        <v>200</v>
      </c>
      <c r="BS113" s="89">
        <v>7</v>
      </c>
      <c r="BT113" s="92"/>
      <c r="BU113" s="85"/>
      <c r="BV113" s="85"/>
      <c r="BW113" s="85">
        <f t="shared" si="72"/>
        <v>0</v>
      </c>
      <c r="BX113" s="85"/>
      <c r="BY113" s="85"/>
      <c r="BZ113" s="85"/>
      <c r="CA113" s="94"/>
      <c r="CC113" s="96" t="s">
        <v>200</v>
      </c>
      <c r="CD113" s="97">
        <f t="shared" si="74"/>
        <v>0</v>
      </c>
    </row>
    <row r="114" spans="1:82" ht="14.4" x14ac:dyDescent="0.3">
      <c r="A114" s="50" t="s">
        <v>201</v>
      </c>
      <c r="B114" s="50" t="s">
        <v>98</v>
      </c>
      <c r="C114" s="68">
        <v>32.559310000000004</v>
      </c>
      <c r="D114" s="68">
        <v>-83.508139999999997</v>
      </c>
      <c r="E114" s="70">
        <v>45432</v>
      </c>
      <c r="F114" s="70">
        <v>45446</v>
      </c>
      <c r="G114" s="67">
        <v>45495</v>
      </c>
      <c r="H114" s="1" t="s">
        <v>25</v>
      </c>
      <c r="I114" s="1" t="s">
        <v>26</v>
      </c>
      <c r="J114" s="59" t="s">
        <v>201</v>
      </c>
      <c r="K114" s="6">
        <v>1</v>
      </c>
      <c r="L114" s="56">
        <v>45453</v>
      </c>
      <c r="M114" s="50">
        <v>0</v>
      </c>
      <c r="N114" s="50">
        <v>0</v>
      </c>
      <c r="O114" s="50">
        <f t="shared" si="52"/>
        <v>0</v>
      </c>
      <c r="P114" s="50" t="s">
        <v>250</v>
      </c>
      <c r="Q114" s="57" t="s">
        <v>250</v>
      </c>
      <c r="T114" s="59" t="s">
        <v>201</v>
      </c>
      <c r="U114" s="6">
        <v>2</v>
      </c>
      <c r="V114" s="56">
        <v>45460</v>
      </c>
      <c r="W114" s="50">
        <v>0</v>
      </c>
      <c r="X114" s="50">
        <v>0</v>
      </c>
      <c r="Y114" s="50">
        <f>SUM(W114+X114)</f>
        <v>0</v>
      </c>
      <c r="Z114" s="50" t="s">
        <v>250</v>
      </c>
      <c r="AA114" s="57" t="s">
        <v>250</v>
      </c>
      <c r="AC114" s="50"/>
      <c r="AD114" s="59" t="s">
        <v>201</v>
      </c>
      <c r="AE114" s="1">
        <v>3</v>
      </c>
      <c r="AF114" s="56">
        <v>45467</v>
      </c>
      <c r="AG114" s="50">
        <v>0</v>
      </c>
      <c r="AH114" s="50">
        <v>0</v>
      </c>
      <c r="AI114" s="50">
        <f t="shared" si="63"/>
        <v>0</v>
      </c>
      <c r="AJ114" s="50" t="s">
        <v>250</v>
      </c>
      <c r="AK114" s="57" t="s">
        <v>250</v>
      </c>
      <c r="AM114" s="50"/>
      <c r="AN114" s="59" t="s">
        <v>201</v>
      </c>
      <c r="AO114" s="1">
        <v>4</v>
      </c>
      <c r="AP114" s="56">
        <v>45474</v>
      </c>
      <c r="AQ114" s="50">
        <v>0</v>
      </c>
      <c r="AR114" s="50">
        <v>0</v>
      </c>
      <c r="AS114" s="50">
        <f t="shared" si="60"/>
        <v>0</v>
      </c>
      <c r="AT114" s="50" t="s">
        <v>250</v>
      </c>
      <c r="AU114" s="57" t="s">
        <v>250</v>
      </c>
      <c r="AW114" s="50"/>
      <c r="AX114" s="59" t="s">
        <v>201</v>
      </c>
      <c r="AY114" s="1">
        <v>5</v>
      </c>
      <c r="AZ114" s="56">
        <v>45481</v>
      </c>
      <c r="BA114" s="50">
        <v>0</v>
      </c>
      <c r="BB114" s="50">
        <v>0</v>
      </c>
      <c r="BC114" s="50">
        <f t="shared" si="56"/>
        <v>0</v>
      </c>
      <c r="BD114" s="50" t="s">
        <v>250</v>
      </c>
      <c r="BE114" s="57" t="s">
        <v>250</v>
      </c>
      <c r="BG114" s="50"/>
      <c r="BH114" s="59" t="s">
        <v>201</v>
      </c>
      <c r="BI114" s="1">
        <v>6</v>
      </c>
      <c r="BJ114" s="56">
        <v>45488</v>
      </c>
      <c r="BK114" s="50">
        <v>0</v>
      </c>
      <c r="BL114" s="50">
        <v>0</v>
      </c>
      <c r="BM114" s="50">
        <f t="shared" si="73"/>
        <v>0</v>
      </c>
      <c r="BN114" s="50" t="s">
        <v>250</v>
      </c>
      <c r="BO114" s="57" t="s">
        <v>250</v>
      </c>
      <c r="BQ114" s="50"/>
      <c r="BR114" s="59" t="s">
        <v>201</v>
      </c>
      <c r="BS114" s="1">
        <v>7</v>
      </c>
      <c r="BT114" s="56">
        <v>45495</v>
      </c>
      <c r="BU114" s="50">
        <v>0</v>
      </c>
      <c r="BV114" s="50">
        <v>0</v>
      </c>
      <c r="BW114" s="50">
        <f t="shared" si="72"/>
        <v>0</v>
      </c>
      <c r="BX114" s="50" t="s">
        <v>250</v>
      </c>
      <c r="BY114" s="50" t="s">
        <v>250</v>
      </c>
      <c r="CC114" s="75" t="s">
        <v>201</v>
      </c>
      <c r="CD114" s="76">
        <f t="shared" si="74"/>
        <v>0</v>
      </c>
    </row>
    <row r="115" spans="1:82" ht="14.4" x14ac:dyDescent="0.3">
      <c r="A115" s="50" t="s">
        <v>202</v>
      </c>
      <c r="B115" s="50" t="s">
        <v>96</v>
      </c>
      <c r="C115" s="68">
        <v>32.563369999999999</v>
      </c>
      <c r="D115" s="68">
        <v>-83.492660000000001</v>
      </c>
      <c r="E115" s="70">
        <v>45432</v>
      </c>
      <c r="F115" s="70">
        <v>45446</v>
      </c>
      <c r="G115" s="67">
        <v>45495</v>
      </c>
      <c r="H115" s="1" t="s">
        <v>25</v>
      </c>
      <c r="I115" s="1" t="s">
        <v>26</v>
      </c>
      <c r="J115" s="59" t="s">
        <v>202</v>
      </c>
      <c r="K115" s="6">
        <v>1</v>
      </c>
      <c r="L115" s="56">
        <v>45453</v>
      </c>
      <c r="M115" s="50">
        <v>0</v>
      </c>
      <c r="N115" s="50">
        <v>0</v>
      </c>
      <c r="O115" s="50">
        <f t="shared" si="52"/>
        <v>0</v>
      </c>
      <c r="P115" s="50" t="s">
        <v>250</v>
      </c>
      <c r="Q115" s="57" t="s">
        <v>250</v>
      </c>
      <c r="T115" s="59" t="s">
        <v>202</v>
      </c>
      <c r="U115" s="6">
        <v>2</v>
      </c>
      <c r="V115" s="56">
        <v>45460</v>
      </c>
      <c r="W115" s="50">
        <v>0</v>
      </c>
      <c r="X115" s="50">
        <v>0</v>
      </c>
      <c r="Y115" s="50">
        <f>SUM(W115+X115)</f>
        <v>0</v>
      </c>
      <c r="Z115" s="50" t="s">
        <v>250</v>
      </c>
      <c r="AA115" s="57" t="s">
        <v>250</v>
      </c>
      <c r="AC115" s="50"/>
      <c r="AD115" s="59" t="s">
        <v>202</v>
      </c>
      <c r="AE115" s="1">
        <v>3</v>
      </c>
      <c r="AF115" s="56">
        <v>45467</v>
      </c>
      <c r="AG115" s="50">
        <v>0</v>
      </c>
      <c r="AH115" s="50">
        <v>0</v>
      </c>
      <c r="AI115" s="50">
        <f t="shared" si="63"/>
        <v>0</v>
      </c>
      <c r="AJ115" s="50" t="s">
        <v>250</v>
      </c>
      <c r="AK115" s="57" t="s">
        <v>250</v>
      </c>
      <c r="AM115" s="50"/>
      <c r="AN115" s="59" t="s">
        <v>202</v>
      </c>
      <c r="AO115" s="1">
        <v>4</v>
      </c>
      <c r="AP115" s="56">
        <v>45474</v>
      </c>
      <c r="AQ115" s="50">
        <v>0</v>
      </c>
      <c r="AR115" s="50">
        <v>0</v>
      </c>
      <c r="AS115" s="50">
        <f t="shared" si="60"/>
        <v>0</v>
      </c>
      <c r="AT115" s="50" t="s">
        <v>250</v>
      </c>
      <c r="AU115" s="57" t="s">
        <v>250</v>
      </c>
      <c r="AW115" s="50"/>
      <c r="AX115" s="59" t="s">
        <v>202</v>
      </c>
      <c r="AY115" s="1">
        <v>5</v>
      </c>
      <c r="AZ115" s="56">
        <v>45481</v>
      </c>
      <c r="BA115" s="50">
        <v>0</v>
      </c>
      <c r="BB115" s="50">
        <v>0</v>
      </c>
      <c r="BC115" s="50">
        <f t="shared" ref="BC115:BC117" si="109">SUM(BA115+BB115)</f>
        <v>0</v>
      </c>
      <c r="BD115" s="50" t="s">
        <v>250</v>
      </c>
      <c r="BE115" s="57" t="s">
        <v>250</v>
      </c>
      <c r="BG115" s="50"/>
      <c r="BH115" s="59" t="s">
        <v>202</v>
      </c>
      <c r="BI115" s="1">
        <v>6</v>
      </c>
      <c r="BJ115" s="56">
        <v>45488</v>
      </c>
      <c r="BK115" s="50">
        <v>0</v>
      </c>
      <c r="BL115" s="50">
        <v>0</v>
      </c>
      <c r="BM115" s="50">
        <f t="shared" si="73"/>
        <v>0</v>
      </c>
      <c r="BN115" s="50" t="s">
        <v>250</v>
      </c>
      <c r="BO115" s="57" t="s">
        <v>250</v>
      </c>
      <c r="BQ115" s="50"/>
      <c r="BR115" s="59" t="s">
        <v>202</v>
      </c>
      <c r="BS115" s="1">
        <v>7</v>
      </c>
      <c r="BT115" s="56">
        <v>45495</v>
      </c>
      <c r="BU115" s="50">
        <v>0</v>
      </c>
      <c r="BV115" s="50">
        <v>0</v>
      </c>
      <c r="BW115" s="50">
        <f t="shared" si="72"/>
        <v>0</v>
      </c>
      <c r="BX115" s="50" t="s">
        <v>250</v>
      </c>
      <c r="BY115" s="50" t="s">
        <v>250</v>
      </c>
      <c r="CC115" s="75" t="s">
        <v>202</v>
      </c>
      <c r="CD115" s="76">
        <f t="shared" si="74"/>
        <v>0</v>
      </c>
    </row>
    <row r="116" spans="1:82" ht="14.4" x14ac:dyDescent="0.3">
      <c r="A116" s="50" t="s">
        <v>203</v>
      </c>
      <c r="B116" s="50" t="s">
        <v>96</v>
      </c>
      <c r="C116" s="68">
        <v>32.561810000000001</v>
      </c>
      <c r="D116" s="68">
        <v>-83.472049999999996</v>
      </c>
      <c r="E116" s="70">
        <v>45432</v>
      </c>
      <c r="F116" s="70">
        <v>45446</v>
      </c>
      <c r="G116" s="67">
        <v>45501</v>
      </c>
      <c r="H116" s="1" t="s">
        <v>25</v>
      </c>
      <c r="I116" s="1" t="s">
        <v>26</v>
      </c>
      <c r="J116" s="59" t="s">
        <v>203</v>
      </c>
      <c r="K116" s="6">
        <v>1</v>
      </c>
      <c r="L116" s="56">
        <v>45453</v>
      </c>
      <c r="M116" s="50">
        <v>0</v>
      </c>
      <c r="N116" s="50">
        <v>0</v>
      </c>
      <c r="O116" s="50">
        <f t="shared" si="52"/>
        <v>0</v>
      </c>
      <c r="P116" s="50" t="s">
        <v>250</v>
      </c>
      <c r="Q116" s="57" t="s">
        <v>250</v>
      </c>
      <c r="T116" s="59" t="s">
        <v>203</v>
      </c>
      <c r="U116" s="6">
        <v>2</v>
      </c>
      <c r="V116" s="56">
        <v>45460</v>
      </c>
      <c r="W116" s="50">
        <v>0</v>
      </c>
      <c r="X116" s="50">
        <v>0</v>
      </c>
      <c r="Y116" s="50">
        <f>SUM(W116+X116)</f>
        <v>0</v>
      </c>
      <c r="Z116" s="50" t="s">
        <v>250</v>
      </c>
      <c r="AA116" s="57" t="s">
        <v>250</v>
      </c>
      <c r="AC116" s="50"/>
      <c r="AD116" s="59" t="s">
        <v>203</v>
      </c>
      <c r="AE116" s="1">
        <v>3</v>
      </c>
      <c r="AF116" s="56">
        <v>45467</v>
      </c>
      <c r="AG116" s="50">
        <v>0</v>
      </c>
      <c r="AH116" s="50">
        <v>0</v>
      </c>
      <c r="AI116" s="50">
        <f t="shared" si="63"/>
        <v>0</v>
      </c>
      <c r="AJ116" s="50" t="s">
        <v>250</v>
      </c>
      <c r="AK116" s="57" t="s">
        <v>250</v>
      </c>
      <c r="AM116" s="50"/>
      <c r="AN116" s="59" t="s">
        <v>203</v>
      </c>
      <c r="AO116" s="1">
        <v>4</v>
      </c>
      <c r="AP116" s="56">
        <v>45474</v>
      </c>
      <c r="AQ116" s="50">
        <v>0</v>
      </c>
      <c r="AR116" s="50">
        <v>0</v>
      </c>
      <c r="AS116" s="50">
        <f t="shared" si="60"/>
        <v>0</v>
      </c>
      <c r="AT116" s="50" t="s">
        <v>250</v>
      </c>
      <c r="AU116" s="57" t="s">
        <v>250</v>
      </c>
      <c r="AW116" s="50"/>
      <c r="AX116" s="59" t="s">
        <v>203</v>
      </c>
      <c r="AY116" s="1">
        <v>5</v>
      </c>
      <c r="AZ116" s="56">
        <v>45481</v>
      </c>
      <c r="BA116" s="50">
        <v>0</v>
      </c>
      <c r="BB116" s="50">
        <v>0</v>
      </c>
      <c r="BC116" s="50">
        <f t="shared" si="109"/>
        <v>0</v>
      </c>
      <c r="BD116" s="50" t="s">
        <v>250</v>
      </c>
      <c r="BE116" s="57" t="s">
        <v>250</v>
      </c>
      <c r="BG116" s="50"/>
      <c r="BH116" s="59" t="s">
        <v>203</v>
      </c>
      <c r="BI116" s="1">
        <v>6</v>
      </c>
      <c r="BJ116" s="56">
        <v>45488</v>
      </c>
      <c r="BK116" s="50">
        <v>0</v>
      </c>
      <c r="BL116" s="50">
        <v>0</v>
      </c>
      <c r="BM116" s="50">
        <f t="shared" si="73"/>
        <v>0</v>
      </c>
      <c r="BN116" s="50" t="s">
        <v>250</v>
      </c>
      <c r="BO116" s="57" t="s">
        <v>250</v>
      </c>
      <c r="BQ116" s="50"/>
      <c r="BR116" s="59" t="s">
        <v>203</v>
      </c>
      <c r="BS116" s="1">
        <v>7</v>
      </c>
      <c r="BT116" s="56">
        <v>45495</v>
      </c>
      <c r="BU116" s="50">
        <v>0</v>
      </c>
      <c r="BV116" s="50">
        <v>0</v>
      </c>
      <c r="BW116" s="50">
        <f t="shared" ref="BW116:BW118" si="110">SUM(BU116+BV116)</f>
        <v>0</v>
      </c>
      <c r="BX116" s="50" t="s">
        <v>250</v>
      </c>
      <c r="BY116" s="50" t="s">
        <v>250</v>
      </c>
      <c r="CC116" s="75" t="s">
        <v>203</v>
      </c>
      <c r="CD116" s="76">
        <f t="shared" si="74"/>
        <v>0</v>
      </c>
    </row>
    <row r="117" spans="1:82" ht="14.4" x14ac:dyDescent="0.3">
      <c r="A117" s="50" t="s">
        <v>204</v>
      </c>
      <c r="B117" s="50" t="s">
        <v>96</v>
      </c>
      <c r="C117" s="68">
        <v>32.5593</v>
      </c>
      <c r="D117" s="68">
        <v>-83.454679999999996</v>
      </c>
      <c r="E117" s="70">
        <v>45432</v>
      </c>
      <c r="F117" s="70">
        <v>45446</v>
      </c>
      <c r="G117" s="67">
        <v>45501</v>
      </c>
      <c r="H117" s="1" t="s">
        <v>25</v>
      </c>
      <c r="I117" s="1" t="s">
        <v>26</v>
      </c>
      <c r="J117" s="59" t="s">
        <v>204</v>
      </c>
      <c r="K117" s="6">
        <v>1</v>
      </c>
      <c r="L117" s="56">
        <v>45453</v>
      </c>
      <c r="M117" s="50">
        <v>0</v>
      </c>
      <c r="N117" s="50">
        <v>3</v>
      </c>
      <c r="O117" s="50">
        <f t="shared" si="52"/>
        <v>3</v>
      </c>
      <c r="P117" s="50" t="s">
        <v>252</v>
      </c>
      <c r="Q117" s="57" t="s">
        <v>250</v>
      </c>
      <c r="T117" s="59" t="s">
        <v>204</v>
      </c>
      <c r="U117" s="6">
        <v>2</v>
      </c>
      <c r="V117" s="56">
        <v>45460</v>
      </c>
      <c r="W117" s="50">
        <v>0</v>
      </c>
      <c r="X117" s="50">
        <v>0</v>
      </c>
      <c r="Y117" s="50">
        <f>SUM(W117+X117)</f>
        <v>0</v>
      </c>
      <c r="Z117" s="50" t="s">
        <v>250</v>
      </c>
      <c r="AA117" s="57" t="s">
        <v>250</v>
      </c>
      <c r="AC117" s="50"/>
      <c r="AD117" s="59" t="s">
        <v>204</v>
      </c>
      <c r="AE117" s="1">
        <v>3</v>
      </c>
      <c r="AF117" s="56">
        <v>45467</v>
      </c>
      <c r="AG117" s="50">
        <v>0</v>
      </c>
      <c r="AH117" s="50">
        <v>0</v>
      </c>
      <c r="AI117" s="50">
        <f t="shared" si="63"/>
        <v>0</v>
      </c>
      <c r="AJ117" s="50" t="s">
        <v>250</v>
      </c>
      <c r="AK117" s="57" t="s">
        <v>250</v>
      </c>
      <c r="AM117" s="50"/>
      <c r="AN117" s="59" t="s">
        <v>204</v>
      </c>
      <c r="AO117" s="1">
        <v>4</v>
      </c>
      <c r="AP117" s="56">
        <v>45474</v>
      </c>
      <c r="AQ117" s="50">
        <v>6</v>
      </c>
      <c r="AR117" s="50">
        <v>9</v>
      </c>
      <c r="AS117" s="50">
        <f t="shared" si="60"/>
        <v>15</v>
      </c>
      <c r="AT117" s="50" t="s">
        <v>252</v>
      </c>
      <c r="AU117" s="57" t="s">
        <v>250</v>
      </c>
      <c r="AW117" s="50"/>
      <c r="AX117" s="59" t="s">
        <v>204</v>
      </c>
      <c r="AY117" s="1">
        <v>5</v>
      </c>
      <c r="AZ117" s="56">
        <v>45481</v>
      </c>
      <c r="BA117" s="50">
        <v>0</v>
      </c>
      <c r="BB117" s="50">
        <v>0</v>
      </c>
      <c r="BC117" s="50">
        <f t="shared" si="109"/>
        <v>0</v>
      </c>
      <c r="BD117" s="50" t="s">
        <v>250</v>
      </c>
      <c r="BE117" s="57" t="s">
        <v>250</v>
      </c>
      <c r="BG117" s="50"/>
      <c r="BH117" s="59" t="s">
        <v>204</v>
      </c>
      <c r="BI117" s="1">
        <v>6</v>
      </c>
      <c r="BJ117" s="56">
        <v>45488</v>
      </c>
      <c r="BK117" s="50">
        <v>6</v>
      </c>
      <c r="BL117" s="50">
        <v>5</v>
      </c>
      <c r="BM117" s="50">
        <f t="shared" si="73"/>
        <v>11</v>
      </c>
      <c r="BN117" s="50" t="s">
        <v>252</v>
      </c>
      <c r="BO117" s="57" t="s">
        <v>250</v>
      </c>
      <c r="BQ117" s="50"/>
      <c r="BR117" s="59" t="s">
        <v>204</v>
      </c>
      <c r="BS117" s="1">
        <v>7</v>
      </c>
      <c r="BT117" s="56">
        <v>45495</v>
      </c>
      <c r="BU117" s="50">
        <v>0</v>
      </c>
      <c r="BV117" s="50">
        <v>0</v>
      </c>
      <c r="BW117" s="50">
        <f t="shared" si="110"/>
        <v>0</v>
      </c>
      <c r="BX117" s="50" t="s">
        <v>250</v>
      </c>
      <c r="BY117" s="50" t="s">
        <v>250</v>
      </c>
      <c r="CC117" s="75" t="s">
        <v>204</v>
      </c>
      <c r="CD117" s="76">
        <f t="shared" si="74"/>
        <v>29</v>
      </c>
    </row>
    <row r="118" spans="1:82" ht="14.4" x14ac:dyDescent="0.3">
      <c r="A118" s="50" t="s">
        <v>207</v>
      </c>
      <c r="B118" s="50" t="s">
        <v>208</v>
      </c>
      <c r="C118" s="68">
        <v>32.560859999999998</v>
      </c>
      <c r="D118" s="68">
        <v>-83.400599999999997</v>
      </c>
      <c r="E118" s="70">
        <v>45440</v>
      </c>
      <c r="F118" s="70">
        <v>45447</v>
      </c>
      <c r="G118" s="67">
        <v>45497</v>
      </c>
      <c r="H118" s="1" t="s">
        <v>25</v>
      </c>
      <c r="I118" s="1" t="s">
        <v>26</v>
      </c>
      <c r="J118" s="59" t="s">
        <v>207</v>
      </c>
      <c r="K118" s="6">
        <v>1</v>
      </c>
      <c r="L118" s="56">
        <v>45454</v>
      </c>
      <c r="M118" s="50">
        <v>0</v>
      </c>
      <c r="N118" s="50">
        <v>0</v>
      </c>
      <c r="O118" s="50">
        <v>0</v>
      </c>
      <c r="P118" s="50" t="s">
        <v>250</v>
      </c>
      <c r="Q118" s="50" t="s">
        <v>250</v>
      </c>
      <c r="T118" s="59" t="s">
        <v>207</v>
      </c>
      <c r="U118" s="6">
        <v>2</v>
      </c>
      <c r="V118" s="56">
        <v>45461</v>
      </c>
      <c r="W118" s="50">
        <v>0</v>
      </c>
      <c r="X118" s="50">
        <v>2</v>
      </c>
      <c r="Y118" s="50">
        <f t="shared" si="53"/>
        <v>2</v>
      </c>
      <c r="Z118" s="50" t="s">
        <v>250</v>
      </c>
      <c r="AA118" s="57" t="s">
        <v>250</v>
      </c>
      <c r="AB118" s="50" t="s">
        <v>253</v>
      </c>
      <c r="AC118" s="50"/>
      <c r="AD118" s="59" t="s">
        <v>207</v>
      </c>
      <c r="AE118" s="1">
        <v>3</v>
      </c>
      <c r="AF118" s="56">
        <v>45468</v>
      </c>
      <c r="AG118" s="50">
        <v>0</v>
      </c>
      <c r="AH118" s="50">
        <v>0</v>
      </c>
      <c r="AI118" s="50">
        <f t="shared" si="63"/>
        <v>0</v>
      </c>
      <c r="AJ118" s="50" t="s">
        <v>250</v>
      </c>
      <c r="AK118" s="57" t="s">
        <v>250</v>
      </c>
      <c r="AM118" s="50"/>
      <c r="AN118" s="59" t="s">
        <v>207</v>
      </c>
      <c r="AO118" s="1">
        <v>4</v>
      </c>
      <c r="AP118" s="56">
        <v>45475</v>
      </c>
      <c r="AQ118" s="50">
        <v>0</v>
      </c>
      <c r="AR118" s="50">
        <v>0</v>
      </c>
      <c r="AS118" s="50">
        <f t="shared" si="60"/>
        <v>0</v>
      </c>
      <c r="AT118" s="50" t="s">
        <v>250</v>
      </c>
      <c r="AU118" s="57" t="s">
        <v>250</v>
      </c>
      <c r="AW118" s="50"/>
      <c r="AX118" s="59" t="s">
        <v>207</v>
      </c>
      <c r="AY118" s="1">
        <v>5</v>
      </c>
      <c r="AZ118" s="56">
        <v>45482</v>
      </c>
      <c r="BA118" s="50">
        <v>0</v>
      </c>
      <c r="BB118" s="50">
        <v>0</v>
      </c>
      <c r="BC118" s="50">
        <f t="shared" si="56"/>
        <v>0</v>
      </c>
      <c r="BD118" s="50" t="s">
        <v>250</v>
      </c>
      <c r="BE118" s="57" t="s">
        <v>250</v>
      </c>
      <c r="BG118" s="50"/>
      <c r="BH118" s="59" t="s">
        <v>207</v>
      </c>
      <c r="BI118" s="1">
        <v>6</v>
      </c>
      <c r="BJ118" s="56">
        <v>45489</v>
      </c>
      <c r="BK118" s="50">
        <v>0</v>
      </c>
      <c r="BL118" s="50">
        <v>0</v>
      </c>
      <c r="BM118" s="50">
        <f t="shared" si="73"/>
        <v>0</v>
      </c>
      <c r="BN118" s="50" t="s">
        <v>250</v>
      </c>
      <c r="BO118" s="57" t="s">
        <v>250</v>
      </c>
      <c r="BQ118" s="50"/>
      <c r="BR118" s="59" t="s">
        <v>207</v>
      </c>
      <c r="BS118" s="1">
        <v>7</v>
      </c>
      <c r="BT118" s="56">
        <v>45497</v>
      </c>
      <c r="BU118" s="50">
        <v>0</v>
      </c>
      <c r="BV118" s="50">
        <v>0</v>
      </c>
      <c r="BW118" s="50">
        <f t="shared" si="110"/>
        <v>0</v>
      </c>
      <c r="BX118" s="50" t="s">
        <v>250</v>
      </c>
      <c r="BY118" s="50" t="s">
        <v>250</v>
      </c>
      <c r="CC118" s="75" t="s">
        <v>207</v>
      </c>
      <c r="CD118" s="76">
        <f t="shared" si="74"/>
        <v>2</v>
      </c>
    </row>
    <row r="119" spans="1:82" ht="14.4" x14ac:dyDescent="0.3">
      <c r="A119" s="50" t="s">
        <v>209</v>
      </c>
      <c r="B119" s="50" t="s">
        <v>208</v>
      </c>
      <c r="C119" s="68">
        <v>32.567819999999998</v>
      </c>
      <c r="D119" s="68">
        <v>-83.523049999999998</v>
      </c>
      <c r="E119" s="70">
        <v>45439</v>
      </c>
      <c r="F119" s="70">
        <v>45450</v>
      </c>
      <c r="G119" s="67">
        <v>45499</v>
      </c>
      <c r="H119" s="1" t="s">
        <v>25</v>
      </c>
      <c r="I119" s="1" t="s">
        <v>26</v>
      </c>
      <c r="J119" s="59" t="s">
        <v>209</v>
      </c>
      <c r="K119" s="6">
        <v>1</v>
      </c>
      <c r="L119" s="56">
        <v>45457</v>
      </c>
      <c r="M119" s="50">
        <v>5</v>
      </c>
      <c r="N119" s="50">
        <v>14</v>
      </c>
      <c r="O119" s="50">
        <f t="shared" si="52"/>
        <v>19</v>
      </c>
      <c r="P119" s="50" t="s">
        <v>252</v>
      </c>
      <c r="Q119" s="57" t="s">
        <v>250</v>
      </c>
      <c r="T119" s="59" t="s">
        <v>209</v>
      </c>
      <c r="U119" s="6">
        <v>2</v>
      </c>
      <c r="V119" s="56">
        <v>45464</v>
      </c>
      <c r="W119" s="50">
        <v>1</v>
      </c>
      <c r="X119" s="50">
        <v>3</v>
      </c>
      <c r="Y119" s="50">
        <f t="shared" si="53"/>
        <v>4</v>
      </c>
      <c r="Z119" s="50" t="s">
        <v>252</v>
      </c>
      <c r="AA119" s="57" t="s">
        <v>250</v>
      </c>
      <c r="AB119" s="50" t="s">
        <v>291</v>
      </c>
      <c r="AC119" s="50"/>
      <c r="AD119" s="59" t="s">
        <v>209</v>
      </c>
      <c r="AE119" s="1">
        <v>3</v>
      </c>
      <c r="AF119" s="56">
        <v>45471</v>
      </c>
      <c r="AG119" s="50">
        <v>0</v>
      </c>
      <c r="AH119" s="50">
        <v>0</v>
      </c>
      <c r="AI119" s="50">
        <f t="shared" si="63"/>
        <v>0</v>
      </c>
      <c r="AJ119" s="50" t="s">
        <v>250</v>
      </c>
      <c r="AK119" s="57" t="s">
        <v>250</v>
      </c>
      <c r="AM119" s="50"/>
      <c r="AN119" s="59" t="s">
        <v>209</v>
      </c>
      <c r="AO119" s="1">
        <v>4</v>
      </c>
      <c r="AP119" s="56">
        <v>45478</v>
      </c>
      <c r="AQ119" s="50">
        <v>0</v>
      </c>
      <c r="AR119" s="50">
        <v>0</v>
      </c>
      <c r="AS119" s="50">
        <f t="shared" si="60"/>
        <v>0</v>
      </c>
      <c r="AT119" s="50" t="s">
        <v>250</v>
      </c>
      <c r="AU119" s="57" t="s">
        <v>250</v>
      </c>
      <c r="AW119" s="50"/>
      <c r="AX119" s="59" t="s">
        <v>209</v>
      </c>
      <c r="AY119" s="1">
        <v>5</v>
      </c>
      <c r="AZ119" s="56">
        <v>45485</v>
      </c>
      <c r="BA119" s="50">
        <v>0</v>
      </c>
      <c r="BB119" s="50">
        <v>0</v>
      </c>
      <c r="BC119" s="50">
        <f t="shared" ref="BC119:BC120" si="111">SUM(BA119+BB119)</f>
        <v>0</v>
      </c>
      <c r="BD119" s="50" t="s">
        <v>250</v>
      </c>
      <c r="BE119" s="57" t="s">
        <v>250</v>
      </c>
      <c r="BG119" s="50"/>
      <c r="BH119" s="59" t="s">
        <v>209</v>
      </c>
      <c r="BI119" s="1">
        <v>6</v>
      </c>
      <c r="BJ119" s="56">
        <v>45492</v>
      </c>
      <c r="BK119" s="50">
        <v>0</v>
      </c>
      <c r="BL119" s="50">
        <v>0</v>
      </c>
      <c r="BM119" s="50">
        <f t="shared" ref="BM119:BM120" si="112">SUM(BK119+BL119)</f>
        <v>0</v>
      </c>
      <c r="BN119" s="50" t="s">
        <v>250</v>
      </c>
      <c r="BO119" s="57" t="s">
        <v>250</v>
      </c>
      <c r="BQ119" s="50"/>
      <c r="BR119" s="59" t="s">
        <v>209</v>
      </c>
      <c r="BS119" s="1">
        <v>7</v>
      </c>
      <c r="BT119" s="56">
        <v>45499</v>
      </c>
      <c r="BU119" s="50">
        <v>0</v>
      </c>
      <c r="BV119" s="50">
        <v>0</v>
      </c>
      <c r="BW119" s="50">
        <f t="shared" si="72"/>
        <v>0</v>
      </c>
      <c r="BX119" s="50" t="s">
        <v>250</v>
      </c>
      <c r="BY119" s="50" t="s">
        <v>250</v>
      </c>
      <c r="CC119" s="75" t="s">
        <v>209</v>
      </c>
      <c r="CD119" s="76">
        <f t="shared" si="74"/>
        <v>23</v>
      </c>
    </row>
    <row r="120" spans="1:82" ht="14.4" x14ac:dyDescent="0.3">
      <c r="A120" s="50" t="s">
        <v>210</v>
      </c>
      <c r="B120" s="50" t="s">
        <v>208</v>
      </c>
      <c r="C120" s="68">
        <v>32.573140000000002</v>
      </c>
      <c r="D120" s="68">
        <v>-83.533569999999997</v>
      </c>
      <c r="E120" s="70">
        <v>45439</v>
      </c>
      <c r="F120" s="70">
        <v>45450</v>
      </c>
      <c r="G120" s="67">
        <v>45499</v>
      </c>
      <c r="H120" s="1" t="s">
        <v>25</v>
      </c>
      <c r="I120" s="1" t="s">
        <v>26</v>
      </c>
      <c r="J120" s="59" t="s">
        <v>210</v>
      </c>
      <c r="K120" s="6">
        <v>1</v>
      </c>
      <c r="L120" s="56">
        <v>45457</v>
      </c>
      <c r="M120" s="50">
        <v>0</v>
      </c>
      <c r="N120" s="50">
        <v>5</v>
      </c>
      <c r="O120" s="50">
        <f t="shared" si="52"/>
        <v>5</v>
      </c>
      <c r="P120" s="50" t="s">
        <v>250</v>
      </c>
      <c r="Q120" s="57" t="s">
        <v>250</v>
      </c>
      <c r="R120" s="57" t="s">
        <v>253</v>
      </c>
      <c r="T120" s="59" t="s">
        <v>210</v>
      </c>
      <c r="U120" s="6">
        <v>2</v>
      </c>
      <c r="V120" s="56">
        <v>45464</v>
      </c>
      <c r="W120" s="50">
        <v>0</v>
      </c>
      <c r="X120" s="50">
        <v>3</v>
      </c>
      <c r="Y120" s="50">
        <f>SUM(W120+X120)</f>
        <v>3</v>
      </c>
      <c r="Z120" s="50" t="s">
        <v>250</v>
      </c>
      <c r="AA120" s="57" t="s">
        <v>250</v>
      </c>
      <c r="AB120" s="50" t="s">
        <v>291</v>
      </c>
      <c r="AC120" s="50"/>
      <c r="AD120" s="59" t="s">
        <v>210</v>
      </c>
      <c r="AE120" s="1">
        <v>3</v>
      </c>
      <c r="AF120" s="56">
        <v>45471</v>
      </c>
      <c r="AG120" s="50">
        <v>0</v>
      </c>
      <c r="AH120" s="50">
        <v>0</v>
      </c>
      <c r="AI120" s="50">
        <f t="shared" ref="AI120" si="113">SUM(AG120+AH120)</f>
        <v>0</v>
      </c>
      <c r="AJ120" s="50" t="s">
        <v>250</v>
      </c>
      <c r="AK120" s="57" t="s">
        <v>250</v>
      </c>
      <c r="AM120" s="50"/>
      <c r="AN120" s="59" t="s">
        <v>210</v>
      </c>
      <c r="AO120" s="1">
        <v>4</v>
      </c>
      <c r="AP120" s="56">
        <v>45478</v>
      </c>
      <c r="AQ120" s="50">
        <v>0</v>
      </c>
      <c r="AR120" s="50">
        <v>0</v>
      </c>
      <c r="AS120" s="50">
        <f t="shared" ref="AS120" si="114">SUM(AQ120+AR120)</f>
        <v>0</v>
      </c>
      <c r="AT120" s="50" t="s">
        <v>250</v>
      </c>
      <c r="AU120" s="57" t="s">
        <v>250</v>
      </c>
      <c r="AW120" s="50"/>
      <c r="AX120" s="59" t="s">
        <v>210</v>
      </c>
      <c r="AY120" s="1">
        <v>5</v>
      </c>
      <c r="AZ120" s="56">
        <v>45485</v>
      </c>
      <c r="BA120" s="50">
        <v>0</v>
      </c>
      <c r="BB120" s="50">
        <v>0</v>
      </c>
      <c r="BC120" s="50">
        <f t="shared" si="111"/>
        <v>0</v>
      </c>
      <c r="BD120" s="50" t="s">
        <v>250</v>
      </c>
      <c r="BE120" s="57" t="s">
        <v>250</v>
      </c>
      <c r="BG120" s="50"/>
      <c r="BH120" s="59" t="s">
        <v>210</v>
      </c>
      <c r="BI120" s="1">
        <v>6</v>
      </c>
      <c r="BJ120" s="56">
        <v>45492</v>
      </c>
      <c r="BK120" s="50">
        <v>0</v>
      </c>
      <c r="BL120" s="50">
        <v>0</v>
      </c>
      <c r="BM120" s="50">
        <f t="shared" si="112"/>
        <v>0</v>
      </c>
      <c r="BN120" s="50" t="s">
        <v>250</v>
      </c>
      <c r="BO120" s="57" t="s">
        <v>250</v>
      </c>
      <c r="BQ120" s="50"/>
      <c r="BR120" s="59" t="s">
        <v>210</v>
      </c>
      <c r="BS120" s="1">
        <v>7</v>
      </c>
      <c r="BT120" s="56">
        <v>45499</v>
      </c>
      <c r="BU120" s="50">
        <v>0</v>
      </c>
      <c r="BV120" s="50">
        <v>0</v>
      </c>
      <c r="BW120" s="50">
        <f t="shared" ref="BW120:BW124" si="115">SUM(BU120+BV120)</f>
        <v>0</v>
      </c>
      <c r="BX120" s="50" t="s">
        <v>250</v>
      </c>
      <c r="BY120" s="50" t="s">
        <v>250</v>
      </c>
      <c r="CC120" s="75" t="s">
        <v>210</v>
      </c>
      <c r="CD120" s="76">
        <f t="shared" si="74"/>
        <v>8</v>
      </c>
    </row>
    <row r="121" spans="1:82" ht="14.4" x14ac:dyDescent="0.3">
      <c r="A121" s="50" t="s">
        <v>213</v>
      </c>
      <c r="B121" s="50" t="s">
        <v>98</v>
      </c>
      <c r="C121" s="68">
        <v>32.570030000000003</v>
      </c>
      <c r="D121" s="68">
        <v>-83.503919999999994</v>
      </c>
      <c r="E121" s="70">
        <v>45432</v>
      </c>
      <c r="F121" s="70">
        <v>45446</v>
      </c>
      <c r="G121" s="67">
        <v>45499</v>
      </c>
      <c r="H121" s="1" t="s">
        <v>25</v>
      </c>
      <c r="I121" s="1" t="s">
        <v>26</v>
      </c>
      <c r="J121" s="59" t="s">
        <v>213</v>
      </c>
      <c r="K121" s="6">
        <v>1</v>
      </c>
      <c r="L121" s="56">
        <v>45453</v>
      </c>
      <c r="M121" s="50">
        <v>0</v>
      </c>
      <c r="N121" s="50">
        <v>0</v>
      </c>
      <c r="O121" s="50">
        <f t="shared" si="52"/>
        <v>0</v>
      </c>
      <c r="P121" s="50" t="s">
        <v>250</v>
      </c>
      <c r="Q121" s="57" t="s">
        <v>250</v>
      </c>
      <c r="T121" s="59" t="s">
        <v>213</v>
      </c>
      <c r="U121" s="6">
        <v>2</v>
      </c>
      <c r="V121" s="56">
        <v>45460</v>
      </c>
      <c r="W121" s="50">
        <v>0</v>
      </c>
      <c r="X121" s="50">
        <v>0</v>
      </c>
      <c r="Y121" s="50">
        <f t="shared" si="53"/>
        <v>0</v>
      </c>
      <c r="Z121" s="50" t="s">
        <v>250</v>
      </c>
      <c r="AA121" s="57" t="s">
        <v>250</v>
      </c>
      <c r="AC121" s="50"/>
      <c r="AD121" s="59" t="s">
        <v>213</v>
      </c>
      <c r="AE121" s="1">
        <v>3</v>
      </c>
      <c r="AF121" s="56">
        <v>45467</v>
      </c>
      <c r="AG121" s="50">
        <v>0</v>
      </c>
      <c r="AH121" s="50">
        <v>0</v>
      </c>
      <c r="AI121" s="50">
        <f t="shared" si="63"/>
        <v>0</v>
      </c>
      <c r="AJ121" s="50" t="s">
        <v>250</v>
      </c>
      <c r="AK121" s="57" t="s">
        <v>250</v>
      </c>
      <c r="AM121" s="50"/>
      <c r="AN121" s="59" t="s">
        <v>213</v>
      </c>
      <c r="AO121" s="1">
        <v>4</v>
      </c>
      <c r="AP121" s="56">
        <v>45474</v>
      </c>
      <c r="AQ121" s="50">
        <v>0</v>
      </c>
      <c r="AR121" s="50">
        <v>0</v>
      </c>
      <c r="AS121" s="50">
        <f t="shared" ref="AS121:AS125" si="116">SUM(AQ121+AR121)</f>
        <v>0</v>
      </c>
      <c r="AT121" s="50" t="s">
        <v>250</v>
      </c>
      <c r="AU121" s="57" t="s">
        <v>250</v>
      </c>
      <c r="AW121" s="50"/>
      <c r="AX121" s="59" t="s">
        <v>213</v>
      </c>
      <c r="AY121" s="1">
        <v>5</v>
      </c>
      <c r="AZ121" s="56">
        <v>45481</v>
      </c>
      <c r="BA121" s="50">
        <v>17</v>
      </c>
      <c r="BB121" s="50">
        <v>17</v>
      </c>
      <c r="BC121" s="50">
        <f t="shared" si="56"/>
        <v>34</v>
      </c>
      <c r="BD121" s="50" t="s">
        <v>252</v>
      </c>
      <c r="BE121" s="57" t="s">
        <v>252</v>
      </c>
      <c r="BG121" s="50"/>
      <c r="BH121" s="59" t="s">
        <v>213</v>
      </c>
      <c r="BI121" s="1">
        <v>6</v>
      </c>
      <c r="BJ121" s="56">
        <v>45488</v>
      </c>
      <c r="BK121" s="50">
        <v>0</v>
      </c>
      <c r="BL121" s="50">
        <v>1</v>
      </c>
      <c r="BM121" s="50">
        <f t="shared" si="73"/>
        <v>1</v>
      </c>
      <c r="BN121" s="50" t="s">
        <v>252</v>
      </c>
      <c r="BO121" s="57" t="s">
        <v>252</v>
      </c>
      <c r="BQ121" s="50"/>
      <c r="BR121" s="59" t="s">
        <v>213</v>
      </c>
      <c r="BS121" s="1">
        <v>7</v>
      </c>
      <c r="BT121" s="56">
        <v>45499</v>
      </c>
      <c r="BU121" s="50">
        <v>0</v>
      </c>
      <c r="BV121" s="50">
        <v>0</v>
      </c>
      <c r="BW121" s="50">
        <f t="shared" si="115"/>
        <v>0</v>
      </c>
      <c r="BX121" s="50" t="s">
        <v>250</v>
      </c>
      <c r="BY121" s="50" t="s">
        <v>250</v>
      </c>
      <c r="CC121" s="75" t="s">
        <v>213</v>
      </c>
      <c r="CD121" s="76">
        <f t="shared" si="74"/>
        <v>35</v>
      </c>
    </row>
    <row r="122" spans="1:82" ht="14.4" x14ac:dyDescent="0.3">
      <c r="A122" s="50" t="s">
        <v>214</v>
      </c>
      <c r="B122" s="50" t="s">
        <v>98</v>
      </c>
      <c r="C122" s="68">
        <v>32.57649</v>
      </c>
      <c r="D122" s="68">
        <v>-83.490049999999997</v>
      </c>
      <c r="E122" s="70">
        <v>45432</v>
      </c>
      <c r="F122" s="70">
        <v>45446</v>
      </c>
      <c r="G122" s="67">
        <v>45499</v>
      </c>
      <c r="H122" s="1" t="s">
        <v>25</v>
      </c>
      <c r="I122" s="1" t="s">
        <v>26</v>
      </c>
      <c r="J122" s="59" t="s">
        <v>214</v>
      </c>
      <c r="K122" s="6">
        <v>1</v>
      </c>
      <c r="L122" s="56">
        <v>45453</v>
      </c>
      <c r="M122" s="50">
        <v>0</v>
      </c>
      <c r="N122" s="50">
        <v>0</v>
      </c>
      <c r="O122" s="50">
        <f t="shared" si="52"/>
        <v>0</v>
      </c>
      <c r="P122" s="50" t="s">
        <v>250</v>
      </c>
      <c r="Q122" s="57" t="s">
        <v>250</v>
      </c>
      <c r="T122" s="59" t="s">
        <v>214</v>
      </c>
      <c r="U122" s="6">
        <v>2</v>
      </c>
      <c r="V122" s="56">
        <v>45460</v>
      </c>
      <c r="W122" s="50">
        <v>0</v>
      </c>
      <c r="X122" s="50">
        <v>0</v>
      </c>
      <c r="Y122" s="50">
        <f t="shared" si="53"/>
        <v>0</v>
      </c>
      <c r="Z122" s="50" t="s">
        <v>250</v>
      </c>
      <c r="AA122" s="57" t="s">
        <v>250</v>
      </c>
      <c r="AC122" s="50"/>
      <c r="AD122" s="59" t="s">
        <v>214</v>
      </c>
      <c r="AE122" s="1">
        <v>3</v>
      </c>
      <c r="AF122" s="56">
        <v>45467</v>
      </c>
      <c r="AG122" s="50">
        <v>0</v>
      </c>
      <c r="AH122" s="50">
        <v>0</v>
      </c>
      <c r="AI122" s="50">
        <f t="shared" si="63"/>
        <v>0</v>
      </c>
      <c r="AJ122" s="50" t="s">
        <v>250</v>
      </c>
      <c r="AK122" s="57" t="s">
        <v>250</v>
      </c>
      <c r="AM122" s="50"/>
      <c r="AN122" s="59" t="s">
        <v>214</v>
      </c>
      <c r="AO122" s="1">
        <v>4</v>
      </c>
      <c r="AP122" s="56">
        <v>45474</v>
      </c>
      <c r="AQ122" s="50">
        <v>0</v>
      </c>
      <c r="AR122" s="50">
        <v>0</v>
      </c>
      <c r="AS122" s="50">
        <f t="shared" si="116"/>
        <v>0</v>
      </c>
      <c r="AT122" s="50" t="s">
        <v>250</v>
      </c>
      <c r="AU122" s="57" t="s">
        <v>250</v>
      </c>
      <c r="AW122" s="50"/>
      <c r="AX122" s="59" t="s">
        <v>214</v>
      </c>
      <c r="AY122" s="1">
        <v>5</v>
      </c>
      <c r="AZ122" s="56">
        <v>45481</v>
      </c>
      <c r="BA122" s="50">
        <v>0</v>
      </c>
      <c r="BB122" s="50">
        <v>0</v>
      </c>
      <c r="BC122" s="50">
        <f t="shared" si="56"/>
        <v>0</v>
      </c>
      <c r="BD122" s="50" t="s">
        <v>250</v>
      </c>
      <c r="BE122" s="57" t="s">
        <v>250</v>
      </c>
      <c r="BG122" s="50"/>
      <c r="BH122" s="59" t="s">
        <v>214</v>
      </c>
      <c r="BI122" s="1">
        <v>6</v>
      </c>
      <c r="BJ122" s="56">
        <v>45488</v>
      </c>
      <c r="BK122" s="50">
        <v>0</v>
      </c>
      <c r="BL122" s="50">
        <v>0</v>
      </c>
      <c r="BM122" s="50">
        <f t="shared" si="73"/>
        <v>0</v>
      </c>
      <c r="BN122" s="50" t="s">
        <v>250</v>
      </c>
      <c r="BO122" s="57" t="s">
        <v>250</v>
      </c>
      <c r="BQ122" s="50"/>
      <c r="BR122" s="59" t="s">
        <v>214</v>
      </c>
      <c r="BS122" s="1">
        <v>7</v>
      </c>
      <c r="BT122" s="56">
        <v>45495</v>
      </c>
      <c r="BU122" s="50">
        <v>0</v>
      </c>
      <c r="BV122" s="50">
        <v>0</v>
      </c>
      <c r="BW122" s="50">
        <f t="shared" si="115"/>
        <v>0</v>
      </c>
      <c r="BX122" s="50" t="s">
        <v>250</v>
      </c>
      <c r="BY122" s="50" t="s">
        <v>250</v>
      </c>
      <c r="CC122" s="75" t="s">
        <v>214</v>
      </c>
      <c r="CD122" s="76">
        <f t="shared" si="74"/>
        <v>0</v>
      </c>
    </row>
    <row r="123" spans="1:82" ht="14.4" x14ac:dyDescent="0.3">
      <c r="A123" s="50" t="s">
        <v>215</v>
      </c>
      <c r="B123" s="50" t="s">
        <v>208</v>
      </c>
      <c r="C123" s="68">
        <v>32.57741</v>
      </c>
      <c r="D123" s="68">
        <v>-83.460279999999997</v>
      </c>
      <c r="E123" s="70">
        <v>45439</v>
      </c>
      <c r="F123" s="70">
        <v>45447</v>
      </c>
      <c r="G123" s="67">
        <v>45499</v>
      </c>
      <c r="H123" s="1" t="s">
        <v>25</v>
      </c>
      <c r="I123" s="1" t="s">
        <v>26</v>
      </c>
      <c r="J123" s="59" t="s">
        <v>215</v>
      </c>
      <c r="K123" s="6">
        <v>1</v>
      </c>
      <c r="L123" s="56">
        <v>45454</v>
      </c>
      <c r="M123" s="50">
        <v>0</v>
      </c>
      <c r="N123" s="50">
        <v>0</v>
      </c>
      <c r="O123" s="50">
        <v>0</v>
      </c>
      <c r="P123" s="50" t="s">
        <v>250</v>
      </c>
      <c r="Q123" s="57" t="s">
        <v>250</v>
      </c>
      <c r="T123" s="59" t="s">
        <v>215</v>
      </c>
      <c r="U123" s="6">
        <v>2</v>
      </c>
      <c r="V123" s="56">
        <v>45461</v>
      </c>
      <c r="W123" s="50">
        <v>0</v>
      </c>
      <c r="X123" s="50">
        <v>0</v>
      </c>
      <c r="Y123" s="50">
        <f t="shared" si="53"/>
        <v>0</v>
      </c>
      <c r="Z123" s="50" t="s">
        <v>250</v>
      </c>
      <c r="AA123" s="57" t="s">
        <v>250</v>
      </c>
      <c r="AC123" s="50"/>
      <c r="AD123" s="59" t="s">
        <v>215</v>
      </c>
      <c r="AE123" s="1">
        <v>3</v>
      </c>
      <c r="AF123" s="56">
        <v>45468</v>
      </c>
      <c r="AG123" s="50">
        <v>0</v>
      </c>
      <c r="AH123" s="50">
        <v>0</v>
      </c>
      <c r="AI123" s="50">
        <f t="shared" ref="AI123" si="117">SUM(AG123+AH123)</f>
        <v>0</v>
      </c>
      <c r="AJ123" s="50" t="s">
        <v>250</v>
      </c>
      <c r="AK123" s="57" t="s">
        <v>250</v>
      </c>
      <c r="AM123" s="50"/>
      <c r="AN123" s="59" t="s">
        <v>215</v>
      </c>
      <c r="AO123" s="1">
        <v>4</v>
      </c>
      <c r="AP123" s="56">
        <v>45475</v>
      </c>
      <c r="AQ123" s="50">
        <v>0</v>
      </c>
      <c r="AR123" s="50">
        <v>0</v>
      </c>
      <c r="AS123" s="50">
        <f t="shared" si="116"/>
        <v>0</v>
      </c>
      <c r="AT123" s="50" t="s">
        <v>250</v>
      </c>
      <c r="AU123" s="57" t="s">
        <v>250</v>
      </c>
      <c r="AW123" s="50"/>
      <c r="AX123" s="59" t="s">
        <v>215</v>
      </c>
      <c r="AY123" s="1">
        <v>5</v>
      </c>
      <c r="AZ123" s="56">
        <v>45482</v>
      </c>
      <c r="BA123" s="50">
        <v>0</v>
      </c>
      <c r="BB123" s="50">
        <v>0</v>
      </c>
      <c r="BC123" s="50">
        <f t="shared" ref="BC123:BC124" si="118">SUM(BA123+BB123)</f>
        <v>0</v>
      </c>
      <c r="BD123" s="50" t="s">
        <v>250</v>
      </c>
      <c r="BE123" s="57" t="s">
        <v>250</v>
      </c>
      <c r="BG123" s="50"/>
      <c r="BH123" s="59" t="s">
        <v>215</v>
      </c>
      <c r="BI123" s="1">
        <v>6</v>
      </c>
      <c r="BJ123" s="56">
        <v>45489</v>
      </c>
      <c r="BK123" s="50">
        <v>0</v>
      </c>
      <c r="BL123" s="50">
        <v>0</v>
      </c>
      <c r="BM123" s="50">
        <f t="shared" ref="BM123" si="119">SUM(BK123+BL123)</f>
        <v>0</v>
      </c>
      <c r="BN123" s="50" t="s">
        <v>250</v>
      </c>
      <c r="BO123" s="57" t="s">
        <v>250</v>
      </c>
      <c r="BQ123" s="50"/>
      <c r="BR123" s="59" t="s">
        <v>215</v>
      </c>
      <c r="BS123" s="1">
        <v>7</v>
      </c>
      <c r="BT123" s="56">
        <v>45496</v>
      </c>
      <c r="BU123" s="50">
        <v>0</v>
      </c>
      <c r="BV123" s="50">
        <v>0</v>
      </c>
      <c r="BW123" s="50">
        <f t="shared" si="115"/>
        <v>0</v>
      </c>
      <c r="BX123" s="50" t="s">
        <v>250</v>
      </c>
      <c r="BY123" s="50" t="s">
        <v>250</v>
      </c>
      <c r="CC123" s="75" t="s">
        <v>215</v>
      </c>
      <c r="CD123" s="76">
        <f t="shared" si="74"/>
        <v>0</v>
      </c>
    </row>
    <row r="124" spans="1:82" ht="14.4" x14ac:dyDescent="0.3">
      <c r="A124" s="50" t="s">
        <v>216</v>
      </c>
      <c r="B124" s="50" t="s">
        <v>96</v>
      </c>
      <c r="C124" s="68">
        <v>32.575859999999999</v>
      </c>
      <c r="D124" s="68">
        <v>-83.44059</v>
      </c>
      <c r="E124" s="70">
        <v>45432</v>
      </c>
      <c r="F124" s="70">
        <v>45447</v>
      </c>
      <c r="G124" s="67">
        <v>45499</v>
      </c>
      <c r="H124" s="1" t="s">
        <v>25</v>
      </c>
      <c r="I124" s="1" t="s">
        <v>26</v>
      </c>
      <c r="J124" s="59" t="s">
        <v>216</v>
      </c>
      <c r="K124" s="6">
        <v>1</v>
      </c>
      <c r="L124" s="56">
        <v>45454</v>
      </c>
      <c r="M124" s="50">
        <v>4</v>
      </c>
      <c r="N124" s="50">
        <v>2</v>
      </c>
      <c r="O124" s="50">
        <f t="shared" si="52"/>
        <v>6</v>
      </c>
      <c r="P124" s="50" t="s">
        <v>252</v>
      </c>
      <c r="Q124" s="57" t="s">
        <v>250</v>
      </c>
      <c r="T124" s="59" t="s">
        <v>216</v>
      </c>
      <c r="U124" s="6">
        <v>2</v>
      </c>
      <c r="V124" s="56">
        <v>45461</v>
      </c>
      <c r="W124" s="50">
        <v>11</v>
      </c>
      <c r="X124" s="50">
        <v>5</v>
      </c>
      <c r="Y124" s="50">
        <f t="shared" si="53"/>
        <v>16</v>
      </c>
      <c r="Z124" s="50" t="s">
        <v>252</v>
      </c>
      <c r="AA124" s="57" t="s">
        <v>250</v>
      </c>
      <c r="AC124" s="50"/>
      <c r="AD124" s="59" t="s">
        <v>216</v>
      </c>
      <c r="AE124" s="1">
        <v>3</v>
      </c>
      <c r="AF124" s="56">
        <v>45468</v>
      </c>
      <c r="AG124" s="50">
        <v>10</v>
      </c>
      <c r="AH124" s="50">
        <v>8</v>
      </c>
      <c r="AI124" s="50">
        <f t="shared" si="63"/>
        <v>18</v>
      </c>
      <c r="AJ124" s="50" t="s">
        <v>252</v>
      </c>
      <c r="AK124" s="57" t="s">
        <v>250</v>
      </c>
      <c r="AM124" s="50"/>
      <c r="AN124" s="59" t="s">
        <v>216</v>
      </c>
      <c r="AO124" s="1">
        <v>4</v>
      </c>
      <c r="AP124" s="56">
        <v>45475</v>
      </c>
      <c r="AQ124" s="50">
        <v>0</v>
      </c>
      <c r="AR124" s="50">
        <v>0</v>
      </c>
      <c r="AS124" s="50">
        <f t="shared" si="116"/>
        <v>0</v>
      </c>
      <c r="AT124" s="50" t="s">
        <v>250</v>
      </c>
      <c r="AU124" s="57" t="s">
        <v>250</v>
      </c>
      <c r="AW124" s="50"/>
      <c r="AX124" s="59" t="s">
        <v>216</v>
      </c>
      <c r="AY124" s="1">
        <v>5</v>
      </c>
      <c r="AZ124" s="56">
        <v>45482</v>
      </c>
      <c r="BA124" s="50">
        <v>14</v>
      </c>
      <c r="BB124" s="50">
        <v>11</v>
      </c>
      <c r="BC124" s="50">
        <f t="shared" si="118"/>
        <v>25</v>
      </c>
      <c r="BD124" s="50" t="s">
        <v>252</v>
      </c>
      <c r="BE124" s="57" t="s">
        <v>252</v>
      </c>
      <c r="BG124" s="50"/>
      <c r="BH124" s="59" t="s">
        <v>216</v>
      </c>
      <c r="BI124" s="1">
        <v>6</v>
      </c>
      <c r="BJ124" s="56">
        <v>45489</v>
      </c>
      <c r="BK124" s="50">
        <v>14</v>
      </c>
      <c r="BL124" s="50">
        <v>15</v>
      </c>
      <c r="BM124" s="50">
        <f t="shared" si="73"/>
        <v>29</v>
      </c>
      <c r="BN124" s="50" t="s">
        <v>252</v>
      </c>
      <c r="BO124" s="57" t="s">
        <v>252</v>
      </c>
      <c r="BQ124" s="50"/>
      <c r="BR124" s="59" t="s">
        <v>216</v>
      </c>
      <c r="BS124" s="1">
        <v>7</v>
      </c>
      <c r="BT124" s="56">
        <v>45496</v>
      </c>
      <c r="BU124" s="50">
        <v>0</v>
      </c>
      <c r="BV124" s="50">
        <v>0</v>
      </c>
      <c r="BW124" s="50">
        <f t="shared" si="115"/>
        <v>0</v>
      </c>
      <c r="BX124" s="50" t="s">
        <v>250</v>
      </c>
      <c r="BY124" s="50" t="s">
        <v>250</v>
      </c>
      <c r="CC124" s="75" t="s">
        <v>216</v>
      </c>
      <c r="CD124" s="76">
        <f t="shared" si="74"/>
        <v>94</v>
      </c>
    </row>
    <row r="125" spans="1:82" ht="14.4" x14ac:dyDescent="0.3">
      <c r="A125" s="50" t="s">
        <v>217</v>
      </c>
      <c r="B125" s="50" t="s">
        <v>208</v>
      </c>
      <c r="C125" s="68">
        <v>32.587589999999999</v>
      </c>
      <c r="D125" s="68">
        <v>-83.52073</v>
      </c>
      <c r="E125" s="70">
        <v>45439</v>
      </c>
      <c r="F125" s="70">
        <v>45450</v>
      </c>
      <c r="G125" s="67">
        <v>45499</v>
      </c>
      <c r="H125" s="1" t="s">
        <v>25</v>
      </c>
      <c r="I125" s="1" t="s">
        <v>26</v>
      </c>
      <c r="J125" s="59" t="s">
        <v>217</v>
      </c>
      <c r="K125" s="6">
        <v>1</v>
      </c>
      <c r="L125" s="56">
        <v>45457</v>
      </c>
      <c r="M125" s="50">
        <v>0</v>
      </c>
      <c r="N125" s="50">
        <v>1</v>
      </c>
      <c r="O125" s="50">
        <f t="shared" si="52"/>
        <v>1</v>
      </c>
      <c r="P125" s="50" t="s">
        <v>261</v>
      </c>
      <c r="Q125" s="57" t="s">
        <v>250</v>
      </c>
      <c r="R125" s="57" t="s">
        <v>268</v>
      </c>
      <c r="T125" s="59" t="s">
        <v>217</v>
      </c>
      <c r="U125" s="6">
        <v>2</v>
      </c>
      <c r="V125" s="56">
        <v>45464</v>
      </c>
      <c r="W125" s="50">
        <v>0</v>
      </c>
      <c r="X125" s="50">
        <v>3</v>
      </c>
      <c r="Y125" s="50">
        <f t="shared" si="53"/>
        <v>3</v>
      </c>
      <c r="Z125" s="50" t="s">
        <v>250</v>
      </c>
      <c r="AA125" s="57" t="s">
        <v>250</v>
      </c>
      <c r="AB125" s="50" t="s">
        <v>253</v>
      </c>
      <c r="AC125" s="50"/>
      <c r="AD125" s="59" t="s">
        <v>217</v>
      </c>
      <c r="AE125" s="1">
        <v>3</v>
      </c>
      <c r="AF125" s="56">
        <v>45471</v>
      </c>
      <c r="AG125" s="50">
        <v>0</v>
      </c>
      <c r="AH125" s="50">
        <v>0</v>
      </c>
      <c r="AI125" s="50">
        <f t="shared" ref="AI125" si="120">SUM(AG125+AH125)</f>
        <v>0</v>
      </c>
      <c r="AJ125" s="50" t="s">
        <v>250</v>
      </c>
      <c r="AK125" s="57" t="s">
        <v>250</v>
      </c>
      <c r="AM125" s="50"/>
      <c r="AN125" s="59" t="s">
        <v>217</v>
      </c>
      <c r="AO125" s="1">
        <v>4</v>
      </c>
      <c r="AP125" s="56">
        <v>45478</v>
      </c>
      <c r="AQ125" s="50">
        <v>0</v>
      </c>
      <c r="AR125" s="50">
        <v>0</v>
      </c>
      <c r="AS125" s="50">
        <f t="shared" si="116"/>
        <v>0</v>
      </c>
      <c r="AT125" s="50" t="s">
        <v>250</v>
      </c>
      <c r="AU125" s="57" t="s">
        <v>250</v>
      </c>
      <c r="AW125" s="50"/>
      <c r="AX125" s="59" t="s">
        <v>217</v>
      </c>
      <c r="AY125" s="1">
        <v>5</v>
      </c>
      <c r="AZ125" s="56">
        <v>45485</v>
      </c>
      <c r="BA125" s="50">
        <v>0</v>
      </c>
      <c r="BB125" s="50">
        <v>0</v>
      </c>
      <c r="BC125" s="50">
        <f t="shared" ref="BC125" si="121">SUM(BA125+BB125)</f>
        <v>0</v>
      </c>
      <c r="BD125" s="50" t="s">
        <v>250</v>
      </c>
      <c r="BE125" s="57" t="s">
        <v>250</v>
      </c>
      <c r="BG125" s="50"/>
      <c r="BH125" s="59" t="s">
        <v>217</v>
      </c>
      <c r="BI125" s="1">
        <v>6</v>
      </c>
      <c r="BJ125" s="56">
        <v>45492</v>
      </c>
      <c r="BK125" s="50">
        <v>0</v>
      </c>
      <c r="BL125" s="50">
        <v>3</v>
      </c>
      <c r="BM125" s="50">
        <f t="shared" si="73"/>
        <v>3</v>
      </c>
      <c r="BN125" s="50" t="s">
        <v>252</v>
      </c>
      <c r="BO125" s="57" t="s">
        <v>250</v>
      </c>
      <c r="BQ125" s="50"/>
      <c r="BR125" s="59" t="s">
        <v>217</v>
      </c>
      <c r="BS125" s="1">
        <v>7</v>
      </c>
      <c r="BT125" s="56">
        <v>45499</v>
      </c>
      <c r="BU125" s="50">
        <v>0</v>
      </c>
      <c r="BV125" s="50">
        <v>0</v>
      </c>
      <c r="BW125" s="50">
        <f t="shared" si="72"/>
        <v>0</v>
      </c>
      <c r="BX125" s="50" t="s">
        <v>250</v>
      </c>
      <c r="BY125" s="50" t="s">
        <v>250</v>
      </c>
      <c r="CC125" s="75" t="s">
        <v>217</v>
      </c>
      <c r="CD125" s="76">
        <f t="shared" si="74"/>
        <v>7</v>
      </c>
    </row>
    <row r="126" spans="1:82" ht="14.4" x14ac:dyDescent="0.3">
      <c r="A126" s="50" t="s">
        <v>218</v>
      </c>
      <c r="B126" s="50" t="s">
        <v>96</v>
      </c>
      <c r="C126" s="68">
        <v>32.592599999999997</v>
      </c>
      <c r="D126" s="68">
        <v>-83.456500000000005</v>
      </c>
      <c r="E126" s="70">
        <v>45432</v>
      </c>
      <c r="F126" s="70">
        <v>45447</v>
      </c>
      <c r="G126" s="67">
        <v>45501</v>
      </c>
      <c r="H126" s="1" t="s">
        <v>25</v>
      </c>
      <c r="I126" s="1" t="s">
        <v>26</v>
      </c>
      <c r="J126" s="59" t="s">
        <v>218</v>
      </c>
      <c r="K126" s="6">
        <v>1</v>
      </c>
      <c r="L126" s="56">
        <v>45454</v>
      </c>
      <c r="M126" s="50">
        <v>0</v>
      </c>
      <c r="N126" s="50">
        <v>1</v>
      </c>
      <c r="O126" s="50">
        <f t="shared" si="52"/>
        <v>1</v>
      </c>
      <c r="P126" s="50" t="s">
        <v>250</v>
      </c>
      <c r="Q126" s="57" t="s">
        <v>250</v>
      </c>
      <c r="R126" s="57" t="s">
        <v>256</v>
      </c>
      <c r="T126" s="59" t="s">
        <v>218</v>
      </c>
      <c r="U126" s="6">
        <v>2</v>
      </c>
      <c r="V126" s="56">
        <v>45461</v>
      </c>
      <c r="W126" s="50">
        <v>0</v>
      </c>
      <c r="X126" s="50">
        <v>0</v>
      </c>
      <c r="Y126" s="50">
        <f t="shared" si="53"/>
        <v>0</v>
      </c>
      <c r="Z126" s="50" t="s">
        <v>250</v>
      </c>
      <c r="AA126" s="57" t="s">
        <v>250</v>
      </c>
      <c r="AC126" s="50"/>
      <c r="AD126" s="59" t="s">
        <v>218</v>
      </c>
      <c r="AE126" s="1">
        <v>3</v>
      </c>
      <c r="AF126" s="56">
        <v>45468</v>
      </c>
      <c r="AG126" s="50">
        <v>0</v>
      </c>
      <c r="AH126" s="50">
        <v>0</v>
      </c>
      <c r="AI126" s="50">
        <f t="shared" si="63"/>
        <v>0</v>
      </c>
      <c r="AJ126" s="50" t="s">
        <v>250</v>
      </c>
      <c r="AK126" s="57" t="s">
        <v>250</v>
      </c>
      <c r="AM126" s="50"/>
      <c r="AN126" s="59" t="s">
        <v>218</v>
      </c>
      <c r="AO126" s="1">
        <v>4</v>
      </c>
      <c r="AP126" s="56">
        <v>45475</v>
      </c>
      <c r="AQ126" s="50">
        <v>0</v>
      </c>
      <c r="AR126" s="50">
        <v>3</v>
      </c>
      <c r="AS126" s="50">
        <f t="shared" si="60"/>
        <v>3</v>
      </c>
      <c r="AT126" s="50" t="s">
        <v>261</v>
      </c>
      <c r="AU126" s="57" t="s">
        <v>250</v>
      </c>
      <c r="AW126" s="50"/>
      <c r="AX126" s="59" t="s">
        <v>218</v>
      </c>
      <c r="AY126" s="1">
        <v>5</v>
      </c>
      <c r="AZ126" s="56">
        <v>45482</v>
      </c>
      <c r="BA126" s="50">
        <v>0</v>
      </c>
      <c r="BB126" s="50">
        <v>0</v>
      </c>
      <c r="BC126" s="50">
        <f t="shared" si="56"/>
        <v>0</v>
      </c>
      <c r="BD126" s="50" t="s">
        <v>250</v>
      </c>
      <c r="BE126" s="57" t="s">
        <v>250</v>
      </c>
      <c r="BG126" s="50"/>
      <c r="BH126" s="59" t="s">
        <v>218</v>
      </c>
      <c r="BI126" s="1">
        <v>6</v>
      </c>
      <c r="BJ126" s="56">
        <v>45489</v>
      </c>
      <c r="BK126" s="50">
        <v>0</v>
      </c>
      <c r="BL126" s="50">
        <v>1</v>
      </c>
      <c r="BM126" s="50">
        <f t="shared" si="73"/>
        <v>1</v>
      </c>
      <c r="BN126" s="50" t="s">
        <v>261</v>
      </c>
      <c r="BO126" s="57" t="s">
        <v>250</v>
      </c>
      <c r="BQ126" s="50"/>
      <c r="BR126" s="59" t="s">
        <v>218</v>
      </c>
      <c r="BS126" s="1">
        <v>7</v>
      </c>
      <c r="BT126" s="56">
        <v>45496</v>
      </c>
      <c r="BU126" s="50">
        <v>0</v>
      </c>
      <c r="BV126" s="50">
        <v>0</v>
      </c>
      <c r="BW126" s="50">
        <f t="shared" si="72"/>
        <v>0</v>
      </c>
      <c r="BX126" s="50" t="s">
        <v>250</v>
      </c>
      <c r="BY126" s="50" t="s">
        <v>250</v>
      </c>
      <c r="CC126" s="75" t="s">
        <v>218</v>
      </c>
      <c r="CD126" s="76">
        <f t="shared" si="74"/>
        <v>5</v>
      </c>
    </row>
    <row r="127" spans="1:82" ht="14.4" x14ac:dyDescent="0.3">
      <c r="A127" s="50" t="s">
        <v>219</v>
      </c>
      <c r="B127" s="50" t="s">
        <v>96</v>
      </c>
      <c r="C127" s="68">
        <v>32.590760000000003</v>
      </c>
      <c r="D127" s="68">
        <v>-83.441249999999997</v>
      </c>
      <c r="E127" s="70">
        <v>45432</v>
      </c>
      <c r="F127" s="70">
        <v>45447</v>
      </c>
      <c r="G127" s="67">
        <v>45496</v>
      </c>
      <c r="H127" s="1" t="s">
        <v>25</v>
      </c>
      <c r="I127" s="1" t="s">
        <v>26</v>
      </c>
      <c r="J127" s="59" t="s">
        <v>219</v>
      </c>
      <c r="K127" s="6">
        <v>1</v>
      </c>
      <c r="L127" s="56">
        <v>45454</v>
      </c>
      <c r="M127" s="50">
        <v>0</v>
      </c>
      <c r="N127" s="50">
        <v>0</v>
      </c>
      <c r="O127" s="50">
        <v>0</v>
      </c>
      <c r="P127" s="50" t="s">
        <v>250</v>
      </c>
      <c r="Q127" s="57" t="s">
        <v>250</v>
      </c>
      <c r="T127" s="59" t="s">
        <v>219</v>
      </c>
      <c r="U127" s="6">
        <v>2</v>
      </c>
      <c r="V127" s="56">
        <v>45461</v>
      </c>
      <c r="W127" s="50">
        <v>0</v>
      </c>
      <c r="X127" s="50">
        <v>0</v>
      </c>
      <c r="Y127" s="50">
        <f t="shared" si="53"/>
        <v>0</v>
      </c>
      <c r="Z127" s="50" t="s">
        <v>250</v>
      </c>
      <c r="AA127" s="57" t="s">
        <v>250</v>
      </c>
      <c r="AC127" s="50"/>
      <c r="AD127" s="59" t="s">
        <v>219</v>
      </c>
      <c r="AE127" s="1">
        <v>3</v>
      </c>
      <c r="AF127" s="56">
        <v>45468</v>
      </c>
      <c r="AG127" s="50">
        <v>0</v>
      </c>
      <c r="AH127" s="50">
        <v>0</v>
      </c>
      <c r="AI127" s="50">
        <f t="shared" si="63"/>
        <v>0</v>
      </c>
      <c r="AJ127" s="50" t="s">
        <v>250</v>
      </c>
      <c r="AK127" s="57" t="s">
        <v>250</v>
      </c>
      <c r="AM127" s="50"/>
      <c r="AN127" s="59" t="s">
        <v>219</v>
      </c>
      <c r="AO127" s="1">
        <v>4</v>
      </c>
      <c r="AP127" s="56">
        <v>45475</v>
      </c>
      <c r="AQ127" s="50">
        <v>1</v>
      </c>
      <c r="AR127" s="50">
        <v>2</v>
      </c>
      <c r="AS127" s="50">
        <f t="shared" si="60"/>
        <v>3</v>
      </c>
      <c r="AT127" s="50" t="s">
        <v>252</v>
      </c>
      <c r="AU127" s="57" t="s">
        <v>250</v>
      </c>
      <c r="AW127" s="50"/>
      <c r="AX127" s="59" t="s">
        <v>219</v>
      </c>
      <c r="AY127" s="1">
        <v>5</v>
      </c>
      <c r="AZ127" s="56">
        <v>45482</v>
      </c>
      <c r="BA127" s="50">
        <v>0</v>
      </c>
      <c r="BB127" s="50">
        <v>0</v>
      </c>
      <c r="BC127" s="50">
        <f t="shared" ref="BC127:BC128" si="122">SUM(BA127+BB127)</f>
        <v>0</v>
      </c>
      <c r="BD127" s="50" t="s">
        <v>250</v>
      </c>
      <c r="BE127" s="57" t="s">
        <v>250</v>
      </c>
      <c r="BG127" s="50"/>
      <c r="BH127" s="59" t="s">
        <v>219</v>
      </c>
      <c r="BI127" s="1">
        <v>6</v>
      </c>
      <c r="BJ127" s="56">
        <v>45489</v>
      </c>
      <c r="BK127" s="50">
        <v>4</v>
      </c>
      <c r="BL127" s="50">
        <v>0</v>
      </c>
      <c r="BM127" s="50">
        <f t="shared" si="73"/>
        <v>4</v>
      </c>
      <c r="BN127" s="50" t="s">
        <v>252</v>
      </c>
      <c r="BO127" s="57" t="s">
        <v>252</v>
      </c>
      <c r="BQ127" s="50"/>
      <c r="BR127" s="59" t="s">
        <v>219</v>
      </c>
      <c r="BS127" s="1">
        <v>7</v>
      </c>
      <c r="BT127" s="56">
        <v>45496</v>
      </c>
      <c r="BU127" s="50">
        <v>3</v>
      </c>
      <c r="BV127" s="50">
        <v>1</v>
      </c>
      <c r="BW127" s="50">
        <f t="shared" si="72"/>
        <v>4</v>
      </c>
      <c r="BX127" s="50" t="s">
        <v>252</v>
      </c>
      <c r="BY127" s="50" t="s">
        <v>252</v>
      </c>
      <c r="CC127" s="75" t="s">
        <v>219</v>
      </c>
      <c r="CD127" s="76">
        <f t="shared" si="74"/>
        <v>11</v>
      </c>
    </row>
    <row r="128" spans="1:82" ht="14.4" x14ac:dyDescent="0.3">
      <c r="A128" s="50" t="s">
        <v>220</v>
      </c>
      <c r="B128" s="50" t="s">
        <v>208</v>
      </c>
      <c r="C128" s="68">
        <v>32.601750000000003</v>
      </c>
      <c r="D128" s="68">
        <v>-83.507350000000002</v>
      </c>
      <c r="E128" s="70">
        <v>45439</v>
      </c>
      <c r="F128" s="70">
        <v>45450</v>
      </c>
      <c r="G128" s="67">
        <v>45499</v>
      </c>
      <c r="H128" s="1" t="s">
        <v>25</v>
      </c>
      <c r="I128" s="1" t="s">
        <v>26</v>
      </c>
      <c r="J128" s="59" t="s">
        <v>220</v>
      </c>
      <c r="K128" s="6">
        <v>1</v>
      </c>
      <c r="L128" s="56">
        <v>45457</v>
      </c>
      <c r="M128" s="50">
        <v>0</v>
      </c>
      <c r="N128" s="50">
        <v>0</v>
      </c>
      <c r="O128" s="50">
        <f t="shared" si="52"/>
        <v>0</v>
      </c>
      <c r="P128" s="50" t="s">
        <v>250</v>
      </c>
      <c r="Q128" s="57" t="s">
        <v>250</v>
      </c>
      <c r="T128" s="59" t="s">
        <v>220</v>
      </c>
      <c r="U128" s="6">
        <v>2</v>
      </c>
      <c r="V128" s="56">
        <v>45464</v>
      </c>
      <c r="W128" s="50">
        <v>0</v>
      </c>
      <c r="X128" s="50">
        <v>0</v>
      </c>
      <c r="Y128" s="50">
        <f t="shared" si="53"/>
        <v>0</v>
      </c>
      <c r="Z128" s="50" t="s">
        <v>250</v>
      </c>
      <c r="AA128" s="57" t="s">
        <v>250</v>
      </c>
      <c r="AC128" s="50"/>
      <c r="AD128" s="59" t="s">
        <v>220</v>
      </c>
      <c r="AE128" s="1">
        <v>3</v>
      </c>
      <c r="AF128" s="56">
        <v>45471</v>
      </c>
      <c r="AG128" s="50">
        <v>0</v>
      </c>
      <c r="AH128" s="50">
        <v>0</v>
      </c>
      <c r="AI128" s="50">
        <f t="shared" ref="AI128" si="123">SUM(AG128+AH128)</f>
        <v>0</v>
      </c>
      <c r="AJ128" s="50" t="s">
        <v>250</v>
      </c>
      <c r="AK128" s="57" t="s">
        <v>250</v>
      </c>
      <c r="AM128" s="50"/>
      <c r="AN128" s="59" t="s">
        <v>220</v>
      </c>
      <c r="AO128" s="1">
        <v>4</v>
      </c>
      <c r="AP128" s="56">
        <v>45478</v>
      </c>
      <c r="AQ128" s="50">
        <v>0</v>
      </c>
      <c r="AR128" s="50">
        <v>0</v>
      </c>
      <c r="AS128" s="50">
        <f t="shared" ref="AS128" si="124">SUM(AQ128+AR128)</f>
        <v>0</v>
      </c>
      <c r="AT128" s="50" t="s">
        <v>250</v>
      </c>
      <c r="AU128" s="57" t="s">
        <v>250</v>
      </c>
      <c r="AW128" s="50"/>
      <c r="AX128" s="59" t="s">
        <v>220</v>
      </c>
      <c r="AY128" s="1">
        <v>5</v>
      </c>
      <c r="AZ128" s="56">
        <v>45485</v>
      </c>
      <c r="BA128" s="50">
        <v>0</v>
      </c>
      <c r="BB128" s="50">
        <v>0</v>
      </c>
      <c r="BC128" s="50">
        <f t="shared" si="122"/>
        <v>0</v>
      </c>
      <c r="BD128" s="50" t="s">
        <v>250</v>
      </c>
      <c r="BE128" s="57" t="s">
        <v>250</v>
      </c>
      <c r="BG128" s="50"/>
      <c r="BH128" s="59" t="s">
        <v>220</v>
      </c>
      <c r="BI128" s="1">
        <v>6</v>
      </c>
      <c r="BJ128" s="56">
        <v>45492</v>
      </c>
      <c r="BK128" s="50">
        <v>0</v>
      </c>
      <c r="BL128" s="50">
        <v>0</v>
      </c>
      <c r="BM128" s="50">
        <f t="shared" si="73"/>
        <v>0</v>
      </c>
      <c r="BN128" s="50" t="s">
        <v>250</v>
      </c>
      <c r="BO128" s="57" t="s">
        <v>250</v>
      </c>
      <c r="BQ128" s="50"/>
      <c r="BR128" s="59" t="s">
        <v>220</v>
      </c>
      <c r="BS128" s="1">
        <v>7</v>
      </c>
      <c r="BT128" s="56">
        <v>45499</v>
      </c>
      <c r="BU128" s="50">
        <v>0</v>
      </c>
      <c r="BV128" s="50">
        <v>0</v>
      </c>
      <c r="BW128" s="50">
        <f t="shared" si="72"/>
        <v>0</v>
      </c>
      <c r="BX128" s="50" t="s">
        <v>250</v>
      </c>
      <c r="BY128" s="50" t="s">
        <v>250</v>
      </c>
      <c r="CC128" s="75" t="s">
        <v>220</v>
      </c>
      <c r="CD128" s="76">
        <f t="shared" si="74"/>
        <v>0</v>
      </c>
    </row>
    <row r="129" spans="1:82" ht="14.4" x14ac:dyDescent="0.3">
      <c r="A129" s="85" t="s">
        <v>222</v>
      </c>
      <c r="B129" s="85" t="s">
        <v>276</v>
      </c>
      <c r="C129" s="86">
        <v>32.608530000000002</v>
      </c>
      <c r="D129" s="86">
        <v>-83.441220000000001</v>
      </c>
      <c r="E129" s="87"/>
      <c r="F129" s="87"/>
      <c r="G129" s="88"/>
      <c r="H129" s="89" t="s">
        <v>25</v>
      </c>
      <c r="I129" s="89" t="s">
        <v>26</v>
      </c>
      <c r="J129" s="90" t="s">
        <v>222</v>
      </c>
      <c r="K129" s="91">
        <v>1</v>
      </c>
      <c r="L129" s="92"/>
      <c r="M129" s="85"/>
      <c r="N129" s="85"/>
      <c r="O129" s="85">
        <f t="shared" si="52"/>
        <v>0</v>
      </c>
      <c r="P129" s="85"/>
      <c r="Q129" s="93"/>
      <c r="R129" s="93"/>
      <c r="S129" s="85"/>
      <c r="T129" s="90" t="s">
        <v>222</v>
      </c>
      <c r="U129" s="91">
        <v>2</v>
      </c>
      <c r="V129" s="92"/>
      <c r="W129" s="85"/>
      <c r="X129" s="85"/>
      <c r="Y129" s="85">
        <f t="shared" si="53"/>
        <v>0</v>
      </c>
      <c r="Z129" s="85"/>
      <c r="AA129" s="93"/>
      <c r="AB129" s="85"/>
      <c r="AC129" s="85"/>
      <c r="AD129" s="90" t="s">
        <v>222</v>
      </c>
      <c r="AE129" s="89">
        <v>3</v>
      </c>
      <c r="AF129" s="92"/>
      <c r="AG129" s="85"/>
      <c r="AH129" s="85"/>
      <c r="AI129" s="85">
        <f t="shared" si="63"/>
        <v>0</v>
      </c>
      <c r="AJ129" s="85"/>
      <c r="AK129" s="93"/>
      <c r="AL129" s="85"/>
      <c r="AM129" s="85"/>
      <c r="AN129" s="90" t="s">
        <v>222</v>
      </c>
      <c r="AO129" s="89">
        <v>4</v>
      </c>
      <c r="AP129" s="92"/>
      <c r="AQ129" s="85"/>
      <c r="AR129" s="85"/>
      <c r="AS129" s="85">
        <f t="shared" si="60"/>
        <v>0</v>
      </c>
      <c r="AT129" s="85"/>
      <c r="AU129" s="93"/>
      <c r="AV129" s="85"/>
      <c r="AW129" s="85"/>
      <c r="AX129" s="90" t="s">
        <v>222</v>
      </c>
      <c r="AY129" s="89">
        <v>5</v>
      </c>
      <c r="AZ129" s="92"/>
      <c r="BA129" s="85"/>
      <c r="BB129" s="85"/>
      <c r="BC129" s="85">
        <f t="shared" si="56"/>
        <v>0</v>
      </c>
      <c r="BD129" s="85"/>
      <c r="BE129" s="93"/>
      <c r="BF129" s="85"/>
      <c r="BG129" s="85"/>
      <c r="BH129" s="90" t="s">
        <v>222</v>
      </c>
      <c r="BI129" s="89">
        <v>6</v>
      </c>
      <c r="BJ129" s="92"/>
      <c r="BK129" s="85"/>
      <c r="BL129" s="85"/>
      <c r="BM129" s="85">
        <f t="shared" si="73"/>
        <v>0</v>
      </c>
      <c r="BN129" s="85"/>
      <c r="BO129" s="93"/>
      <c r="BP129" s="85"/>
      <c r="BQ129" s="85"/>
      <c r="BR129" s="90" t="s">
        <v>222</v>
      </c>
      <c r="BS129" s="89">
        <v>7</v>
      </c>
      <c r="BT129" s="92"/>
      <c r="BU129" s="85"/>
      <c r="BV129" s="85"/>
      <c r="BW129" s="85">
        <f t="shared" si="72"/>
        <v>0</v>
      </c>
      <c r="BX129" s="85"/>
      <c r="BY129" s="85"/>
      <c r="BZ129" s="85"/>
      <c r="CA129" s="94"/>
      <c r="CC129" s="96" t="s">
        <v>222</v>
      </c>
      <c r="CD129" s="97">
        <f t="shared" si="74"/>
        <v>0</v>
      </c>
    </row>
    <row r="130" spans="1:82" ht="14.4" x14ac:dyDescent="0.3">
      <c r="A130" s="50" t="s">
        <v>223</v>
      </c>
      <c r="B130" s="50" t="s">
        <v>208</v>
      </c>
      <c r="C130" s="68">
        <v>32.609969999999997</v>
      </c>
      <c r="D130" s="68">
        <v>-83.530779999999993</v>
      </c>
      <c r="E130" s="70">
        <v>45439</v>
      </c>
      <c r="F130" s="70">
        <v>45450</v>
      </c>
      <c r="G130" s="67">
        <v>45499</v>
      </c>
      <c r="H130" s="1" t="s">
        <v>25</v>
      </c>
      <c r="I130" s="1" t="s">
        <v>26</v>
      </c>
      <c r="J130" s="59" t="s">
        <v>223</v>
      </c>
      <c r="K130" s="6">
        <v>1</v>
      </c>
      <c r="L130" s="56">
        <v>45457</v>
      </c>
      <c r="M130" s="50">
        <v>0</v>
      </c>
      <c r="N130" s="50">
        <v>1</v>
      </c>
      <c r="O130" s="50">
        <f t="shared" si="52"/>
        <v>1</v>
      </c>
      <c r="P130" s="50" t="s">
        <v>250</v>
      </c>
      <c r="Q130" s="57" t="s">
        <v>250</v>
      </c>
      <c r="R130" s="57" t="s">
        <v>77</v>
      </c>
      <c r="T130" s="59" t="s">
        <v>223</v>
      </c>
      <c r="U130" s="6">
        <v>2</v>
      </c>
      <c r="V130" s="56">
        <v>45464</v>
      </c>
      <c r="W130" s="50">
        <v>0</v>
      </c>
      <c r="X130" s="50">
        <v>0</v>
      </c>
      <c r="Y130" s="50">
        <f>SUM(W130+X130)</f>
        <v>0</v>
      </c>
      <c r="Z130" s="50" t="s">
        <v>250</v>
      </c>
      <c r="AA130" s="57" t="s">
        <v>250</v>
      </c>
      <c r="AC130" s="50"/>
      <c r="AD130" s="59" t="s">
        <v>223</v>
      </c>
      <c r="AE130" s="1">
        <v>3</v>
      </c>
      <c r="AF130" s="56">
        <v>45471</v>
      </c>
      <c r="AG130" s="50">
        <v>0</v>
      </c>
      <c r="AH130" s="50">
        <v>0</v>
      </c>
      <c r="AI130" s="50">
        <f t="shared" ref="AI130" si="125">SUM(AG130+AH130)</f>
        <v>0</v>
      </c>
      <c r="AJ130" s="50" t="s">
        <v>250</v>
      </c>
      <c r="AK130" s="57" t="s">
        <v>250</v>
      </c>
      <c r="AM130" s="50"/>
      <c r="AN130" s="59" t="s">
        <v>223</v>
      </c>
      <c r="AO130" s="1">
        <v>4</v>
      </c>
      <c r="AP130" s="56">
        <v>45478</v>
      </c>
      <c r="AQ130" s="50">
        <v>0</v>
      </c>
      <c r="AR130" s="50">
        <v>0</v>
      </c>
      <c r="AS130" s="50">
        <f t="shared" ref="AS130:AS131" si="126">SUM(AQ130+AR130)</f>
        <v>0</v>
      </c>
      <c r="AT130" s="50" t="s">
        <v>250</v>
      </c>
      <c r="AU130" s="57" t="s">
        <v>250</v>
      </c>
      <c r="AW130" s="50"/>
      <c r="AX130" s="59" t="s">
        <v>223</v>
      </c>
      <c r="AY130" s="1">
        <v>5</v>
      </c>
      <c r="AZ130" s="56">
        <v>45485</v>
      </c>
      <c r="BA130" s="50">
        <v>0</v>
      </c>
      <c r="BB130" s="50">
        <v>0</v>
      </c>
      <c r="BC130" s="50">
        <f t="shared" ref="BC130" si="127">SUM(BA130+BB130)</f>
        <v>0</v>
      </c>
      <c r="BD130" s="50" t="s">
        <v>250</v>
      </c>
      <c r="BE130" s="57" t="s">
        <v>250</v>
      </c>
      <c r="BG130" s="50"/>
      <c r="BH130" s="59" t="s">
        <v>223</v>
      </c>
      <c r="BI130" s="1">
        <v>6</v>
      </c>
      <c r="BJ130" s="56">
        <v>45492</v>
      </c>
      <c r="BK130" s="50">
        <v>0</v>
      </c>
      <c r="BL130" s="50">
        <v>0</v>
      </c>
      <c r="BM130" s="50">
        <f t="shared" ref="BM130:BM131" si="128">SUM(BK130+BL130)</f>
        <v>0</v>
      </c>
      <c r="BN130" s="50" t="s">
        <v>250</v>
      </c>
      <c r="BO130" s="57" t="s">
        <v>250</v>
      </c>
      <c r="BQ130" s="50"/>
      <c r="BR130" s="59" t="s">
        <v>223</v>
      </c>
      <c r="BS130" s="1">
        <v>7</v>
      </c>
      <c r="BT130" s="56">
        <v>45499</v>
      </c>
      <c r="BU130" s="50">
        <v>0</v>
      </c>
      <c r="BV130" s="50">
        <v>0</v>
      </c>
      <c r="BW130" s="50">
        <f t="shared" ref="BW130:BW131" si="129">SUM(BU130+BV130)</f>
        <v>0</v>
      </c>
      <c r="BX130" s="50" t="s">
        <v>250</v>
      </c>
      <c r="BY130" s="50" t="s">
        <v>250</v>
      </c>
      <c r="CC130" s="75" t="s">
        <v>223</v>
      </c>
      <c r="CD130" s="76">
        <f t="shared" si="74"/>
        <v>1</v>
      </c>
    </row>
    <row r="131" spans="1:82" ht="14.4" x14ac:dyDescent="0.3">
      <c r="A131" s="50" t="s">
        <v>224</v>
      </c>
      <c r="B131" s="50" t="s">
        <v>208</v>
      </c>
      <c r="C131" s="68">
        <v>32.615670000000001</v>
      </c>
      <c r="D131" s="68">
        <v>-83.509190000000004</v>
      </c>
      <c r="E131" s="70">
        <v>45439</v>
      </c>
      <c r="F131" s="70">
        <v>45450</v>
      </c>
      <c r="G131" s="67">
        <v>45499</v>
      </c>
      <c r="H131" s="1" t="s">
        <v>25</v>
      </c>
      <c r="I131" s="1" t="s">
        <v>26</v>
      </c>
      <c r="J131" s="59" t="s">
        <v>224</v>
      </c>
      <c r="K131" s="6">
        <v>1</v>
      </c>
      <c r="L131" s="56">
        <v>45457</v>
      </c>
      <c r="M131" s="50">
        <v>0</v>
      </c>
      <c r="N131" s="50">
        <v>2</v>
      </c>
      <c r="O131" s="50">
        <f t="shared" ref="O131:O146" si="130">SUM(M131+N131)</f>
        <v>2</v>
      </c>
      <c r="P131" s="50" t="s">
        <v>250</v>
      </c>
      <c r="Q131" s="57" t="s">
        <v>250</v>
      </c>
      <c r="R131" s="57" t="s">
        <v>77</v>
      </c>
      <c r="T131" s="59" t="s">
        <v>224</v>
      </c>
      <c r="U131" s="6">
        <v>2</v>
      </c>
      <c r="V131" s="56">
        <v>45464</v>
      </c>
      <c r="W131" s="50">
        <v>0</v>
      </c>
      <c r="X131" s="50">
        <v>0</v>
      </c>
      <c r="Y131" s="50">
        <f>SUM(W131+X131)</f>
        <v>0</v>
      </c>
      <c r="Z131" s="50" t="s">
        <v>250</v>
      </c>
      <c r="AA131" s="57" t="s">
        <v>250</v>
      </c>
      <c r="AC131" s="50"/>
      <c r="AD131" s="59" t="s">
        <v>224</v>
      </c>
      <c r="AE131" s="1">
        <v>3</v>
      </c>
      <c r="AF131" s="56">
        <v>45471</v>
      </c>
      <c r="AG131" s="50">
        <v>5</v>
      </c>
      <c r="AH131" s="50">
        <v>5</v>
      </c>
      <c r="AI131" s="50">
        <f t="shared" ref="AI131:AI146" si="131">SUM(AG131+AH131)</f>
        <v>10</v>
      </c>
      <c r="AJ131" s="50" t="s">
        <v>252</v>
      </c>
      <c r="AK131" s="57" t="s">
        <v>250</v>
      </c>
      <c r="AM131" s="50"/>
      <c r="AN131" s="59" t="s">
        <v>224</v>
      </c>
      <c r="AO131" s="1">
        <v>4</v>
      </c>
      <c r="AP131" s="56">
        <v>45478</v>
      </c>
      <c r="AQ131" s="50">
        <v>0</v>
      </c>
      <c r="AR131" s="50">
        <v>0</v>
      </c>
      <c r="AS131" s="50">
        <f t="shared" si="126"/>
        <v>0</v>
      </c>
      <c r="AT131" s="50" t="s">
        <v>250</v>
      </c>
      <c r="AU131" s="57" t="s">
        <v>250</v>
      </c>
      <c r="AW131" s="50"/>
      <c r="AX131" s="59" t="s">
        <v>224</v>
      </c>
      <c r="AY131" s="1">
        <v>5</v>
      </c>
      <c r="AZ131" s="56">
        <v>45485</v>
      </c>
      <c r="BA131" s="50">
        <v>0</v>
      </c>
      <c r="BB131" s="50">
        <v>0</v>
      </c>
      <c r="BC131" s="50">
        <f t="shared" ref="BC131" si="132">SUM(BA131+BB131)</f>
        <v>0</v>
      </c>
      <c r="BD131" s="50" t="s">
        <v>250</v>
      </c>
      <c r="BE131" s="57" t="s">
        <v>250</v>
      </c>
      <c r="BG131" s="50"/>
      <c r="BH131" s="59" t="s">
        <v>224</v>
      </c>
      <c r="BI131" s="1">
        <v>6</v>
      </c>
      <c r="BJ131" s="56">
        <v>45492</v>
      </c>
      <c r="BK131" s="50">
        <v>0</v>
      </c>
      <c r="BL131" s="50">
        <v>0</v>
      </c>
      <c r="BM131" s="50">
        <f t="shared" si="128"/>
        <v>0</v>
      </c>
      <c r="BN131" s="50" t="s">
        <v>250</v>
      </c>
      <c r="BO131" s="57" t="s">
        <v>250</v>
      </c>
      <c r="BQ131" s="50"/>
      <c r="BR131" s="59" t="s">
        <v>224</v>
      </c>
      <c r="BS131" s="1">
        <v>7</v>
      </c>
      <c r="BT131" s="56">
        <v>45499</v>
      </c>
      <c r="BU131" s="50">
        <v>0</v>
      </c>
      <c r="BV131" s="50">
        <v>0</v>
      </c>
      <c r="BW131" s="50">
        <f t="shared" si="129"/>
        <v>0</v>
      </c>
      <c r="BX131" s="50" t="s">
        <v>250</v>
      </c>
      <c r="BY131" s="50" t="s">
        <v>250</v>
      </c>
      <c r="CC131" s="75" t="s">
        <v>224</v>
      </c>
      <c r="CD131" s="76">
        <f>SUM(O131+Y131+AI131+AS131+BC131+BM131+BW131)</f>
        <v>12</v>
      </c>
    </row>
    <row r="132" spans="1:82" ht="14.4" x14ac:dyDescent="0.3">
      <c r="A132" s="85" t="s">
        <v>225</v>
      </c>
      <c r="B132" s="85" t="s">
        <v>276</v>
      </c>
      <c r="C132" s="86">
        <v>32.610349999999997</v>
      </c>
      <c r="D132" s="86">
        <v>-83.454589999999996</v>
      </c>
      <c r="E132" s="87"/>
      <c r="F132" s="87"/>
      <c r="G132" s="88"/>
      <c r="H132" s="89" t="s">
        <v>226</v>
      </c>
      <c r="I132" s="89" t="s">
        <v>26</v>
      </c>
      <c r="J132" s="90" t="s">
        <v>225</v>
      </c>
      <c r="K132" s="91">
        <v>1</v>
      </c>
      <c r="L132" s="92"/>
      <c r="M132" s="85"/>
      <c r="N132" s="85"/>
      <c r="O132" s="85">
        <f t="shared" si="130"/>
        <v>0</v>
      </c>
      <c r="P132" s="85"/>
      <c r="Q132" s="93"/>
      <c r="R132" s="93"/>
      <c r="S132" s="85"/>
      <c r="T132" s="90" t="s">
        <v>225</v>
      </c>
      <c r="U132" s="91">
        <v>2</v>
      </c>
      <c r="V132" s="92"/>
      <c r="W132" s="85"/>
      <c r="X132" s="85"/>
      <c r="Y132" s="85">
        <f t="shared" ref="Y132:Y146" si="133">SUM(W132+X132)</f>
        <v>0</v>
      </c>
      <c r="Z132" s="85"/>
      <c r="AA132" s="93"/>
      <c r="AB132" s="85"/>
      <c r="AC132" s="85"/>
      <c r="AD132" s="90" t="s">
        <v>225</v>
      </c>
      <c r="AE132" s="89">
        <v>3</v>
      </c>
      <c r="AF132" s="92"/>
      <c r="AG132" s="85"/>
      <c r="AH132" s="85"/>
      <c r="AI132" s="85">
        <f t="shared" si="131"/>
        <v>0</v>
      </c>
      <c r="AJ132" s="85"/>
      <c r="AK132" s="93"/>
      <c r="AL132" s="85"/>
      <c r="AM132" s="85"/>
      <c r="AN132" s="90" t="s">
        <v>225</v>
      </c>
      <c r="AO132" s="89">
        <v>4</v>
      </c>
      <c r="AP132" s="92"/>
      <c r="AQ132" s="85"/>
      <c r="AR132" s="85"/>
      <c r="AS132" s="85">
        <f t="shared" ref="AS132:AS146" si="134">SUM(AQ132+AR132)</f>
        <v>0</v>
      </c>
      <c r="AT132" s="85"/>
      <c r="AU132" s="93"/>
      <c r="AV132" s="85"/>
      <c r="AW132" s="85"/>
      <c r="AX132" s="90" t="s">
        <v>225</v>
      </c>
      <c r="AY132" s="89">
        <v>5</v>
      </c>
      <c r="AZ132" s="92"/>
      <c r="BA132" s="85"/>
      <c r="BB132" s="85"/>
      <c r="BC132" s="85">
        <f t="shared" ref="BC132:BC146" si="135">SUM(BA132+BB132)</f>
        <v>0</v>
      </c>
      <c r="BD132" s="85"/>
      <c r="BE132" s="93"/>
      <c r="BF132" s="85"/>
      <c r="BG132" s="85"/>
      <c r="BH132" s="90" t="s">
        <v>225</v>
      </c>
      <c r="BI132" s="89">
        <v>6</v>
      </c>
      <c r="BJ132" s="92"/>
      <c r="BK132" s="85"/>
      <c r="BL132" s="85"/>
      <c r="BM132" s="85">
        <f t="shared" ref="BM132:BM146" si="136">SUM(BK132+BL132)</f>
        <v>0</v>
      </c>
      <c r="BN132" s="85"/>
      <c r="BO132" s="93"/>
      <c r="BP132" s="85"/>
      <c r="BQ132" s="85"/>
      <c r="BR132" s="90" t="s">
        <v>225</v>
      </c>
      <c r="BS132" s="89">
        <v>7</v>
      </c>
      <c r="BT132" s="92"/>
      <c r="BU132" s="85"/>
      <c r="BV132" s="85"/>
      <c r="BW132" s="85">
        <f t="shared" ref="BW132:BW146" si="137">SUM(BU132+BV132)</f>
        <v>0</v>
      </c>
      <c r="BX132" s="85"/>
      <c r="BY132" s="85"/>
      <c r="BZ132" s="85"/>
      <c r="CA132" s="94"/>
      <c r="CC132" s="96" t="s">
        <v>225</v>
      </c>
      <c r="CD132" s="97">
        <f>SUM(O132+Y132+AI132+AS132+BC132+BM132+BW132)</f>
        <v>0</v>
      </c>
    </row>
    <row r="133" spans="1:82" ht="14.4" x14ac:dyDescent="0.3">
      <c r="A133" s="85" t="s">
        <v>227</v>
      </c>
      <c r="B133" s="85" t="s">
        <v>276</v>
      </c>
      <c r="C133" s="86">
        <v>32.621119999999998</v>
      </c>
      <c r="D133" s="86">
        <v>-83.448859999999996</v>
      </c>
      <c r="E133" s="87"/>
      <c r="F133" s="87"/>
      <c r="G133" s="95"/>
      <c r="H133" s="89" t="s">
        <v>226</v>
      </c>
      <c r="I133" s="89" t="s">
        <v>26</v>
      </c>
      <c r="J133" s="90" t="s">
        <v>227</v>
      </c>
      <c r="K133" s="89">
        <v>1</v>
      </c>
      <c r="L133" s="92"/>
      <c r="M133" s="85"/>
      <c r="N133" s="85"/>
      <c r="O133" s="85">
        <f t="shared" si="130"/>
        <v>0</v>
      </c>
      <c r="P133" s="85"/>
      <c r="Q133" s="85"/>
      <c r="R133" s="85"/>
      <c r="S133" s="85"/>
      <c r="T133" s="90" t="s">
        <v>227</v>
      </c>
      <c r="U133" s="89">
        <v>2</v>
      </c>
      <c r="V133" s="92"/>
      <c r="W133" s="85"/>
      <c r="X133" s="85"/>
      <c r="Y133" s="85">
        <f t="shared" si="133"/>
        <v>0</v>
      </c>
      <c r="Z133" s="85"/>
      <c r="AA133" s="85"/>
      <c r="AB133" s="85"/>
      <c r="AC133" s="85"/>
      <c r="AD133" s="90" t="s">
        <v>227</v>
      </c>
      <c r="AE133" s="89">
        <v>3</v>
      </c>
      <c r="AF133" s="92"/>
      <c r="AG133" s="85"/>
      <c r="AH133" s="85"/>
      <c r="AI133" s="85">
        <f t="shared" si="131"/>
        <v>0</v>
      </c>
      <c r="AJ133" s="85"/>
      <c r="AK133" s="85"/>
      <c r="AL133" s="85"/>
      <c r="AM133" s="85"/>
      <c r="AN133" s="90" t="s">
        <v>227</v>
      </c>
      <c r="AO133" s="89">
        <v>4</v>
      </c>
      <c r="AP133" s="92"/>
      <c r="AQ133" s="85"/>
      <c r="AR133" s="85"/>
      <c r="AS133" s="85">
        <f t="shared" si="134"/>
        <v>0</v>
      </c>
      <c r="AT133" s="85"/>
      <c r="AU133" s="85"/>
      <c r="AV133" s="85"/>
      <c r="AW133" s="85"/>
      <c r="AX133" s="90" t="s">
        <v>227</v>
      </c>
      <c r="AY133" s="89">
        <v>5</v>
      </c>
      <c r="AZ133" s="92"/>
      <c r="BA133" s="85"/>
      <c r="BB133" s="85"/>
      <c r="BC133" s="85">
        <f t="shared" si="135"/>
        <v>0</v>
      </c>
      <c r="BD133" s="85"/>
      <c r="BE133" s="85"/>
      <c r="BF133" s="85"/>
      <c r="BG133" s="85"/>
      <c r="BH133" s="90" t="s">
        <v>227</v>
      </c>
      <c r="BI133" s="89">
        <v>6</v>
      </c>
      <c r="BJ133" s="92"/>
      <c r="BK133" s="85"/>
      <c r="BL133" s="85"/>
      <c r="BM133" s="85">
        <f t="shared" si="136"/>
        <v>0</v>
      </c>
      <c r="BN133" s="85"/>
      <c r="BO133" s="93"/>
      <c r="BP133" s="85"/>
      <c r="BQ133" s="85"/>
      <c r="BR133" s="90" t="s">
        <v>227</v>
      </c>
      <c r="BS133" s="89">
        <v>7</v>
      </c>
      <c r="BT133" s="92"/>
      <c r="BU133" s="85"/>
      <c r="BV133" s="85"/>
      <c r="BW133" s="85">
        <f t="shared" si="137"/>
        <v>0</v>
      </c>
      <c r="BX133" s="85"/>
      <c r="BY133" s="85"/>
      <c r="BZ133" s="85"/>
      <c r="CA133" s="94"/>
      <c r="CC133" s="96" t="s">
        <v>227</v>
      </c>
      <c r="CD133" s="97">
        <f>SUM(O133+Y133+AI133+AS133+BC133+BM133+BW133)</f>
        <v>0</v>
      </c>
    </row>
    <row r="134" spans="1:82" ht="14.4" x14ac:dyDescent="0.3">
      <c r="A134" s="50" t="s">
        <v>229</v>
      </c>
      <c r="B134" s="50" t="s">
        <v>230</v>
      </c>
      <c r="C134" s="68">
        <v>32.641770000000001</v>
      </c>
      <c r="D134" s="68">
        <v>-83.503079999999997</v>
      </c>
      <c r="E134" s="70">
        <v>45439</v>
      </c>
      <c r="F134" s="70">
        <v>45450</v>
      </c>
      <c r="G134" s="67">
        <v>45499</v>
      </c>
      <c r="H134" s="1" t="s">
        <v>25</v>
      </c>
      <c r="I134" s="1" t="s">
        <v>26</v>
      </c>
      <c r="J134" s="59" t="s">
        <v>229</v>
      </c>
      <c r="K134" s="1">
        <v>1</v>
      </c>
      <c r="L134" s="56">
        <v>45457</v>
      </c>
      <c r="M134" s="50">
        <v>0</v>
      </c>
      <c r="N134" s="50">
        <v>0</v>
      </c>
      <c r="O134" s="50">
        <f t="shared" si="130"/>
        <v>0</v>
      </c>
      <c r="P134" s="50" t="s">
        <v>250</v>
      </c>
      <c r="Q134" s="50" t="s">
        <v>250</v>
      </c>
      <c r="R134" s="50"/>
      <c r="T134" s="59" t="s">
        <v>229</v>
      </c>
      <c r="U134" s="1">
        <v>2</v>
      </c>
      <c r="V134" s="56">
        <v>45464</v>
      </c>
      <c r="W134" s="50">
        <v>0</v>
      </c>
      <c r="X134" s="50">
        <v>0</v>
      </c>
      <c r="Y134" s="50">
        <f t="shared" si="133"/>
        <v>0</v>
      </c>
      <c r="Z134" s="50" t="s">
        <v>250</v>
      </c>
      <c r="AA134" s="57" t="s">
        <v>250</v>
      </c>
      <c r="AC134" s="50"/>
      <c r="AD134" s="59" t="s">
        <v>229</v>
      </c>
      <c r="AE134" s="1">
        <v>3</v>
      </c>
      <c r="AF134" s="56">
        <v>45471</v>
      </c>
      <c r="AG134" s="50">
        <v>0</v>
      </c>
      <c r="AH134" s="50">
        <v>0</v>
      </c>
      <c r="AI134" s="50">
        <f t="shared" si="131"/>
        <v>0</v>
      </c>
      <c r="AJ134" s="50" t="s">
        <v>250</v>
      </c>
      <c r="AK134" s="57" t="s">
        <v>250</v>
      </c>
      <c r="AM134" s="50"/>
      <c r="AN134" s="59" t="s">
        <v>229</v>
      </c>
      <c r="AO134" s="1">
        <v>4</v>
      </c>
      <c r="AP134" s="56">
        <v>45478</v>
      </c>
      <c r="AQ134" s="50">
        <v>0</v>
      </c>
      <c r="AR134" s="50">
        <v>0</v>
      </c>
      <c r="AS134" s="50">
        <f t="shared" si="134"/>
        <v>0</v>
      </c>
      <c r="AT134" s="50" t="s">
        <v>250</v>
      </c>
      <c r="AU134" s="57" t="s">
        <v>250</v>
      </c>
      <c r="AW134" s="50"/>
      <c r="AX134" s="59" t="s">
        <v>229</v>
      </c>
      <c r="AY134" s="1">
        <v>5</v>
      </c>
      <c r="AZ134" s="56">
        <v>45485</v>
      </c>
      <c r="BA134" s="50">
        <v>0</v>
      </c>
      <c r="BB134" s="50">
        <v>0</v>
      </c>
      <c r="BC134" s="50">
        <f t="shared" si="135"/>
        <v>0</v>
      </c>
      <c r="BD134" s="50" t="s">
        <v>250</v>
      </c>
      <c r="BE134" s="57" t="s">
        <v>250</v>
      </c>
      <c r="BG134" s="50"/>
      <c r="BH134" s="59" t="s">
        <v>229</v>
      </c>
      <c r="BI134" s="1">
        <v>6</v>
      </c>
      <c r="BJ134" s="56">
        <v>45492</v>
      </c>
      <c r="BK134" s="50">
        <v>1</v>
      </c>
      <c r="BL134" s="50">
        <v>2</v>
      </c>
      <c r="BM134" s="50">
        <f t="shared" si="136"/>
        <v>3</v>
      </c>
      <c r="BN134" s="50" t="s">
        <v>252</v>
      </c>
      <c r="BO134" s="57" t="s">
        <v>250</v>
      </c>
      <c r="BQ134" s="50"/>
      <c r="BR134" s="59" t="s">
        <v>229</v>
      </c>
      <c r="BS134" s="1">
        <v>7</v>
      </c>
      <c r="BT134" s="56">
        <v>45499</v>
      </c>
      <c r="BU134" s="50">
        <v>1</v>
      </c>
      <c r="BV134" s="50">
        <v>2</v>
      </c>
      <c r="BW134" s="50">
        <f t="shared" si="137"/>
        <v>3</v>
      </c>
      <c r="BX134" s="50" t="s">
        <v>252</v>
      </c>
      <c r="BY134" s="50" t="s">
        <v>250</v>
      </c>
      <c r="CC134" s="75" t="s">
        <v>229</v>
      </c>
      <c r="CD134" s="76">
        <f>SUM(O134+Y134+AI134+AS134+BC134+BM134+BW134)</f>
        <v>6</v>
      </c>
    </row>
    <row r="135" spans="1:82" ht="14.4" x14ac:dyDescent="0.3">
      <c r="A135" s="50" t="s">
        <v>240</v>
      </c>
      <c r="B135" s="50" t="s">
        <v>230</v>
      </c>
      <c r="C135" s="68">
        <v>32.628340000000001</v>
      </c>
      <c r="D135" s="68">
        <v>-83.515630000000002</v>
      </c>
      <c r="E135" s="70">
        <v>45441</v>
      </c>
      <c r="F135" s="70">
        <v>45450</v>
      </c>
      <c r="G135" s="67">
        <v>45499</v>
      </c>
      <c r="H135" s="1" t="s">
        <v>25</v>
      </c>
      <c r="I135" s="1" t="s">
        <v>26</v>
      </c>
      <c r="J135" s="59" t="str">
        <f>A135</f>
        <v>HS 134</v>
      </c>
      <c r="K135" s="1">
        <v>1</v>
      </c>
      <c r="L135" s="56">
        <v>45457</v>
      </c>
      <c r="M135" s="50">
        <v>1</v>
      </c>
      <c r="N135" s="50">
        <v>0</v>
      </c>
      <c r="O135" s="50">
        <f t="shared" si="130"/>
        <v>1</v>
      </c>
      <c r="P135" s="50" t="s">
        <v>261</v>
      </c>
      <c r="Q135" s="50" t="s">
        <v>250</v>
      </c>
      <c r="R135" s="50" t="s">
        <v>274</v>
      </c>
      <c r="T135" s="59" t="str">
        <f t="shared" ref="T135:T146" si="138">J135</f>
        <v>HS 134</v>
      </c>
      <c r="U135" s="1">
        <v>2</v>
      </c>
      <c r="V135" s="56">
        <v>45464</v>
      </c>
      <c r="W135" s="50">
        <v>0</v>
      </c>
      <c r="X135" s="50">
        <v>0</v>
      </c>
      <c r="Y135" s="50">
        <f t="shared" si="133"/>
        <v>0</v>
      </c>
      <c r="Z135" s="50" t="s">
        <v>250</v>
      </c>
      <c r="AA135" s="57" t="s">
        <v>250</v>
      </c>
      <c r="AC135" s="50"/>
      <c r="AD135" s="59" t="str">
        <f>A135</f>
        <v>HS 134</v>
      </c>
      <c r="AE135" s="1">
        <v>3</v>
      </c>
      <c r="AF135" s="56">
        <v>45471</v>
      </c>
      <c r="AG135" s="50">
        <v>0</v>
      </c>
      <c r="AH135" s="50">
        <v>0</v>
      </c>
      <c r="AI135" s="50">
        <f t="shared" si="131"/>
        <v>0</v>
      </c>
      <c r="AJ135" s="50" t="s">
        <v>250</v>
      </c>
      <c r="AK135" s="57" t="s">
        <v>250</v>
      </c>
      <c r="AM135" s="50"/>
      <c r="AN135" s="59" t="s">
        <v>240</v>
      </c>
      <c r="AO135" s="1">
        <v>4</v>
      </c>
      <c r="AP135" s="56">
        <v>45478</v>
      </c>
      <c r="AQ135" s="50">
        <v>0</v>
      </c>
      <c r="AR135" s="50">
        <v>0</v>
      </c>
      <c r="AS135" s="50">
        <f t="shared" si="134"/>
        <v>0</v>
      </c>
      <c r="AT135" s="50" t="s">
        <v>250</v>
      </c>
      <c r="AU135" s="57" t="s">
        <v>250</v>
      </c>
      <c r="AW135" s="50"/>
      <c r="AX135" s="59" t="s">
        <v>240</v>
      </c>
      <c r="AY135" s="1">
        <v>5</v>
      </c>
      <c r="AZ135" s="56">
        <v>45485</v>
      </c>
      <c r="BA135" s="50">
        <v>0</v>
      </c>
      <c r="BB135" s="50">
        <v>0</v>
      </c>
      <c r="BC135" s="50">
        <f t="shared" si="135"/>
        <v>0</v>
      </c>
      <c r="BD135" s="50" t="s">
        <v>250</v>
      </c>
      <c r="BE135" s="57" t="s">
        <v>250</v>
      </c>
      <c r="BG135" s="50"/>
      <c r="BH135" s="59" t="s">
        <v>240</v>
      </c>
      <c r="BI135" s="1">
        <v>6</v>
      </c>
      <c r="BJ135" s="56">
        <v>45492</v>
      </c>
      <c r="BK135" s="50">
        <v>0</v>
      </c>
      <c r="BL135" s="50">
        <v>0</v>
      </c>
      <c r="BM135" s="50">
        <f t="shared" si="136"/>
        <v>0</v>
      </c>
      <c r="BN135" s="50" t="s">
        <v>250</v>
      </c>
      <c r="BO135" s="50" t="s">
        <v>250</v>
      </c>
      <c r="BQ135" s="50"/>
      <c r="BR135" s="59" t="s">
        <v>240</v>
      </c>
      <c r="BS135" s="1">
        <v>7</v>
      </c>
      <c r="BT135" s="56">
        <v>45499</v>
      </c>
      <c r="BU135" s="50">
        <v>0</v>
      </c>
      <c r="BV135" s="50">
        <v>0</v>
      </c>
      <c r="BW135" s="50">
        <f t="shared" si="137"/>
        <v>0</v>
      </c>
      <c r="BX135" s="50" t="s">
        <v>250</v>
      </c>
      <c r="BY135" s="50" t="s">
        <v>250</v>
      </c>
      <c r="CC135" s="75" t="s">
        <v>240</v>
      </c>
      <c r="CD135" s="76">
        <f t="shared" ref="CD135:CD146" si="139">SUM(O135+Y135+AI135+AS135+BC135+BM135+BW135)</f>
        <v>1</v>
      </c>
    </row>
    <row r="136" spans="1:82" ht="14.4" x14ac:dyDescent="0.3">
      <c r="A136" s="50" t="s">
        <v>239</v>
      </c>
      <c r="B136" s="50" t="s">
        <v>233</v>
      </c>
      <c r="C136" s="68">
        <v>32.428519999999999</v>
      </c>
      <c r="D136" s="68">
        <v>-83.419160000000005</v>
      </c>
      <c r="E136" s="70">
        <v>45441</v>
      </c>
      <c r="F136" s="70">
        <v>45448</v>
      </c>
      <c r="G136" s="67">
        <v>45502</v>
      </c>
      <c r="H136" s="1" t="s">
        <v>25</v>
      </c>
      <c r="I136" s="1" t="s">
        <v>26</v>
      </c>
      <c r="J136" s="59" t="str">
        <f t="shared" ref="J136:J145" si="140">A136</f>
        <v>HS 135</v>
      </c>
      <c r="K136" s="1">
        <v>1</v>
      </c>
      <c r="L136" s="56">
        <v>45455</v>
      </c>
      <c r="M136" s="50">
        <v>0</v>
      </c>
      <c r="N136" s="50">
        <v>0</v>
      </c>
      <c r="O136" s="50">
        <f t="shared" si="130"/>
        <v>0</v>
      </c>
      <c r="P136" s="50" t="s">
        <v>250</v>
      </c>
      <c r="Q136" s="50" t="s">
        <v>250</v>
      </c>
      <c r="R136" s="50"/>
      <c r="T136" s="59" t="str">
        <f t="shared" si="138"/>
        <v>HS 135</v>
      </c>
      <c r="U136" s="1">
        <v>2</v>
      </c>
      <c r="V136" s="56">
        <v>45462</v>
      </c>
      <c r="W136" s="50">
        <v>0</v>
      </c>
      <c r="X136" s="50">
        <v>0</v>
      </c>
      <c r="Y136" s="50">
        <f t="shared" si="133"/>
        <v>0</v>
      </c>
      <c r="Z136" s="50" t="s">
        <v>250</v>
      </c>
      <c r="AA136" s="57" t="s">
        <v>250</v>
      </c>
      <c r="AC136" s="50"/>
      <c r="AD136" s="59" t="str">
        <f t="shared" ref="AD136:AD146" si="141">A136</f>
        <v>HS 135</v>
      </c>
      <c r="AE136" s="1">
        <v>3</v>
      </c>
      <c r="AF136" s="56">
        <v>45469</v>
      </c>
      <c r="AG136" s="50">
        <v>0</v>
      </c>
      <c r="AH136" s="50">
        <v>0</v>
      </c>
      <c r="AI136" s="50">
        <f t="shared" si="131"/>
        <v>0</v>
      </c>
      <c r="AJ136" s="50" t="s">
        <v>250</v>
      </c>
      <c r="AK136" s="57" t="s">
        <v>250</v>
      </c>
      <c r="AM136" s="50"/>
      <c r="AN136" s="59" t="s">
        <v>239</v>
      </c>
      <c r="AO136" s="1">
        <v>4</v>
      </c>
      <c r="AP136" s="56">
        <v>45476</v>
      </c>
      <c r="AQ136" s="50">
        <v>0</v>
      </c>
      <c r="AR136" s="50">
        <v>2</v>
      </c>
      <c r="AS136" s="50">
        <f t="shared" si="134"/>
        <v>2</v>
      </c>
      <c r="AT136" s="50" t="s">
        <v>250</v>
      </c>
      <c r="AU136" s="50" t="s">
        <v>250</v>
      </c>
      <c r="AW136" s="50"/>
      <c r="AX136" s="59" t="s">
        <v>239</v>
      </c>
      <c r="AY136" s="1">
        <v>5</v>
      </c>
      <c r="AZ136" s="56">
        <v>45483</v>
      </c>
      <c r="BA136" s="50">
        <v>0</v>
      </c>
      <c r="BB136" s="50">
        <v>0</v>
      </c>
      <c r="BC136" s="50">
        <f t="shared" si="135"/>
        <v>0</v>
      </c>
      <c r="BD136" s="50" t="s">
        <v>250</v>
      </c>
      <c r="BE136" s="57" t="s">
        <v>250</v>
      </c>
      <c r="BG136" s="50"/>
      <c r="BH136" s="59" t="s">
        <v>239</v>
      </c>
      <c r="BI136" s="1">
        <v>6</v>
      </c>
      <c r="BJ136" s="56">
        <v>45490</v>
      </c>
      <c r="BK136" s="50">
        <v>0</v>
      </c>
      <c r="BL136" s="50">
        <v>0</v>
      </c>
      <c r="BM136" s="50">
        <f t="shared" si="136"/>
        <v>0</v>
      </c>
      <c r="BN136" s="50" t="s">
        <v>250</v>
      </c>
      <c r="BO136" s="50" t="s">
        <v>250</v>
      </c>
      <c r="BQ136" s="50"/>
      <c r="BR136" s="59" t="s">
        <v>239</v>
      </c>
      <c r="BS136" s="1">
        <v>7</v>
      </c>
      <c r="BT136" s="56">
        <v>45497</v>
      </c>
      <c r="BU136" s="50">
        <v>0</v>
      </c>
      <c r="BV136" s="50">
        <v>0</v>
      </c>
      <c r="BW136" s="50">
        <f t="shared" ref="BW136:BW138" si="142">SUM(BU136+BV136)</f>
        <v>0</v>
      </c>
      <c r="BX136" s="50" t="s">
        <v>250</v>
      </c>
      <c r="BY136" s="50" t="s">
        <v>250</v>
      </c>
      <c r="CC136" s="75" t="s">
        <v>239</v>
      </c>
      <c r="CD136" s="76">
        <f t="shared" si="139"/>
        <v>2</v>
      </c>
    </row>
    <row r="137" spans="1:82" ht="14.4" x14ac:dyDescent="0.3">
      <c r="A137" s="50" t="s">
        <v>238</v>
      </c>
      <c r="B137" s="50" t="s">
        <v>233</v>
      </c>
      <c r="C137" s="68">
        <v>32.433210000000003</v>
      </c>
      <c r="D137" s="68">
        <v>-83.428539999999998</v>
      </c>
      <c r="E137" s="70">
        <v>45441</v>
      </c>
      <c r="F137" s="70">
        <v>45448</v>
      </c>
      <c r="G137" s="67">
        <v>45497</v>
      </c>
      <c r="H137" s="1" t="s">
        <v>25</v>
      </c>
      <c r="I137" s="1" t="s">
        <v>26</v>
      </c>
      <c r="J137" s="59" t="str">
        <f t="shared" si="140"/>
        <v>HS 136</v>
      </c>
      <c r="K137" s="1">
        <v>1</v>
      </c>
      <c r="L137" s="56">
        <v>45455</v>
      </c>
      <c r="M137" s="50">
        <v>0</v>
      </c>
      <c r="N137" s="50">
        <v>0</v>
      </c>
      <c r="O137" s="50">
        <v>0</v>
      </c>
      <c r="P137" s="50" t="s">
        <v>250</v>
      </c>
      <c r="Q137" s="50" t="s">
        <v>250</v>
      </c>
      <c r="R137" s="50"/>
      <c r="T137" s="59" t="str">
        <f t="shared" si="138"/>
        <v>HS 136</v>
      </c>
      <c r="U137" s="1">
        <v>2</v>
      </c>
      <c r="V137" s="56">
        <v>45462</v>
      </c>
      <c r="W137" s="50">
        <v>0</v>
      </c>
      <c r="X137" s="50">
        <v>0</v>
      </c>
      <c r="Y137" s="50">
        <f t="shared" si="133"/>
        <v>0</v>
      </c>
      <c r="Z137" s="50" t="s">
        <v>250</v>
      </c>
      <c r="AA137" s="57" t="s">
        <v>250</v>
      </c>
      <c r="AC137" s="50"/>
      <c r="AD137" s="59" t="str">
        <f t="shared" si="141"/>
        <v>HS 136</v>
      </c>
      <c r="AE137" s="1">
        <v>3</v>
      </c>
      <c r="AF137" s="56">
        <v>45469</v>
      </c>
      <c r="AG137" s="50">
        <v>0</v>
      </c>
      <c r="AH137" s="50">
        <v>0</v>
      </c>
      <c r="AI137" s="50">
        <f t="shared" si="131"/>
        <v>0</v>
      </c>
      <c r="AJ137" s="50" t="s">
        <v>250</v>
      </c>
      <c r="AK137" s="57" t="s">
        <v>250</v>
      </c>
      <c r="AM137" s="50"/>
      <c r="AN137" s="59" t="s">
        <v>238</v>
      </c>
      <c r="AO137" s="1">
        <v>4</v>
      </c>
      <c r="AP137" s="56">
        <v>45476</v>
      </c>
      <c r="AQ137" s="50">
        <v>0</v>
      </c>
      <c r="AR137" s="50">
        <v>0</v>
      </c>
      <c r="AS137" s="50">
        <f t="shared" si="134"/>
        <v>0</v>
      </c>
      <c r="AT137" s="50" t="s">
        <v>250</v>
      </c>
      <c r="AU137" s="50" t="s">
        <v>250</v>
      </c>
      <c r="AW137" s="50"/>
      <c r="AX137" s="59" t="s">
        <v>238</v>
      </c>
      <c r="AY137" s="1">
        <v>5</v>
      </c>
      <c r="AZ137" s="56">
        <v>45483</v>
      </c>
      <c r="BA137" s="50">
        <v>1</v>
      </c>
      <c r="BB137" s="50">
        <v>0</v>
      </c>
      <c r="BC137" s="50">
        <f t="shared" si="135"/>
        <v>1</v>
      </c>
      <c r="BD137" s="50" t="s">
        <v>252</v>
      </c>
      <c r="BE137" s="50" t="s">
        <v>250</v>
      </c>
      <c r="BG137" s="50"/>
      <c r="BH137" s="59" t="s">
        <v>238</v>
      </c>
      <c r="BI137" s="1">
        <v>6</v>
      </c>
      <c r="BJ137" s="56">
        <v>45490</v>
      </c>
      <c r="BK137" s="50">
        <v>0</v>
      </c>
      <c r="BL137" s="50">
        <v>0</v>
      </c>
      <c r="BM137" s="50">
        <f t="shared" ref="BM137" si="143">SUM(BK137+BL137)</f>
        <v>0</v>
      </c>
      <c r="BN137" s="50" t="s">
        <v>250</v>
      </c>
      <c r="BO137" s="50" t="s">
        <v>250</v>
      </c>
      <c r="BQ137" s="50"/>
      <c r="BR137" s="59" t="s">
        <v>238</v>
      </c>
      <c r="BS137" s="1">
        <v>7</v>
      </c>
      <c r="BT137" s="56">
        <v>45497</v>
      </c>
      <c r="BU137" s="50">
        <v>0</v>
      </c>
      <c r="BV137" s="50">
        <v>0</v>
      </c>
      <c r="BW137" s="50">
        <f t="shared" si="142"/>
        <v>0</v>
      </c>
      <c r="BX137" s="50" t="s">
        <v>250</v>
      </c>
      <c r="BY137" s="50" t="s">
        <v>250</v>
      </c>
      <c r="CC137" s="75" t="s">
        <v>238</v>
      </c>
      <c r="CD137" s="76">
        <f t="shared" si="139"/>
        <v>1</v>
      </c>
    </row>
    <row r="138" spans="1:82" ht="14.4" x14ac:dyDescent="0.3">
      <c r="A138" s="50" t="s">
        <v>234</v>
      </c>
      <c r="B138" s="50" t="s">
        <v>169</v>
      </c>
      <c r="C138" s="68">
        <v>32.538800000000002</v>
      </c>
      <c r="D138" s="68">
        <v>-83.451340000000002</v>
      </c>
      <c r="E138" s="70">
        <v>45433</v>
      </c>
      <c r="F138" s="70">
        <v>45446</v>
      </c>
      <c r="G138" s="67">
        <v>45495</v>
      </c>
      <c r="H138" s="1" t="s">
        <v>25</v>
      </c>
      <c r="I138" s="1" t="s">
        <v>26</v>
      </c>
      <c r="J138" s="59" t="str">
        <f t="shared" si="140"/>
        <v>HS 137</v>
      </c>
      <c r="K138" s="1">
        <v>1</v>
      </c>
      <c r="L138" s="56">
        <v>45453</v>
      </c>
      <c r="M138" s="50">
        <v>0</v>
      </c>
      <c r="N138" s="50">
        <v>1</v>
      </c>
      <c r="O138" s="50">
        <f t="shared" si="130"/>
        <v>1</v>
      </c>
      <c r="P138" s="50" t="s">
        <v>250</v>
      </c>
      <c r="Q138" s="50" t="s">
        <v>250</v>
      </c>
      <c r="R138" s="50" t="s">
        <v>254</v>
      </c>
      <c r="T138" s="59" t="str">
        <f t="shared" si="138"/>
        <v>HS 137</v>
      </c>
      <c r="U138" s="1">
        <v>2</v>
      </c>
      <c r="V138" s="56">
        <v>45460</v>
      </c>
      <c r="W138" s="50">
        <v>0</v>
      </c>
      <c r="X138" s="50">
        <v>0</v>
      </c>
      <c r="Y138" s="50">
        <f t="shared" si="133"/>
        <v>0</v>
      </c>
      <c r="Z138" s="50" t="s">
        <v>250</v>
      </c>
      <c r="AA138" s="57" t="s">
        <v>250</v>
      </c>
      <c r="AC138" s="50"/>
      <c r="AD138" s="59" t="str">
        <f t="shared" si="141"/>
        <v>HS 137</v>
      </c>
      <c r="AE138" s="1">
        <v>3</v>
      </c>
      <c r="AF138" s="56">
        <v>45467</v>
      </c>
      <c r="AG138" s="50">
        <v>0</v>
      </c>
      <c r="AH138" s="50">
        <v>0</v>
      </c>
      <c r="AI138" s="50">
        <f t="shared" si="131"/>
        <v>0</v>
      </c>
      <c r="AJ138" s="50" t="s">
        <v>250</v>
      </c>
      <c r="AK138" s="57" t="s">
        <v>250</v>
      </c>
      <c r="AM138" s="50"/>
      <c r="AN138" s="59" t="s">
        <v>234</v>
      </c>
      <c r="AO138" s="1">
        <v>4</v>
      </c>
      <c r="AP138" s="56">
        <v>45474</v>
      </c>
      <c r="AQ138" s="50">
        <v>9</v>
      </c>
      <c r="AR138" s="50">
        <v>10</v>
      </c>
      <c r="AS138" s="50">
        <f t="shared" si="134"/>
        <v>19</v>
      </c>
      <c r="AT138" s="50" t="s">
        <v>252</v>
      </c>
      <c r="AU138" s="57" t="s">
        <v>252</v>
      </c>
      <c r="AW138" s="50"/>
      <c r="AX138" s="59" t="s">
        <v>234</v>
      </c>
      <c r="AY138" s="1">
        <v>5</v>
      </c>
      <c r="AZ138" s="56">
        <v>45481</v>
      </c>
      <c r="BA138" s="50">
        <v>0</v>
      </c>
      <c r="BB138" s="50">
        <v>1</v>
      </c>
      <c r="BC138" s="50">
        <f t="shared" si="135"/>
        <v>1</v>
      </c>
      <c r="BD138" s="50" t="s">
        <v>250</v>
      </c>
      <c r="BE138" s="50" t="s">
        <v>250</v>
      </c>
      <c r="BG138" s="50"/>
      <c r="BH138" s="59" t="s">
        <v>234</v>
      </c>
      <c r="BI138" s="1">
        <v>6</v>
      </c>
      <c r="BJ138" s="56">
        <v>45488</v>
      </c>
      <c r="BK138" s="50">
        <v>4</v>
      </c>
      <c r="BL138" s="50">
        <v>0</v>
      </c>
      <c r="BM138" s="50">
        <f t="shared" si="136"/>
        <v>4</v>
      </c>
      <c r="BN138" s="50" t="s">
        <v>252</v>
      </c>
      <c r="BO138" s="50" t="s">
        <v>250</v>
      </c>
      <c r="BQ138" s="50"/>
      <c r="BR138" s="59" t="s">
        <v>234</v>
      </c>
      <c r="BS138" s="1">
        <v>7</v>
      </c>
      <c r="BT138" s="56">
        <v>45495</v>
      </c>
      <c r="BU138" s="50">
        <v>1</v>
      </c>
      <c r="BV138" s="50">
        <v>0</v>
      </c>
      <c r="BW138" s="50">
        <f t="shared" si="142"/>
        <v>1</v>
      </c>
      <c r="BX138" s="50" t="s">
        <v>252</v>
      </c>
      <c r="BY138" s="50" t="s">
        <v>250</v>
      </c>
      <c r="CC138" s="75" t="s">
        <v>234</v>
      </c>
      <c r="CD138" s="76">
        <f t="shared" si="139"/>
        <v>26</v>
      </c>
    </row>
    <row r="139" spans="1:82" ht="14.4" x14ac:dyDescent="0.3">
      <c r="A139" s="50" t="s">
        <v>235</v>
      </c>
      <c r="B139" s="50" t="s">
        <v>231</v>
      </c>
      <c r="C139" s="68">
        <v>32.54842</v>
      </c>
      <c r="D139" s="68">
        <v>-83.421239999999997</v>
      </c>
      <c r="E139" s="70">
        <v>45440</v>
      </c>
      <c r="F139" s="70">
        <v>45447</v>
      </c>
      <c r="G139" s="67">
        <v>45496</v>
      </c>
      <c r="H139" s="1" t="s">
        <v>25</v>
      </c>
      <c r="I139" s="1" t="s">
        <v>26</v>
      </c>
      <c r="J139" s="59" t="str">
        <f t="shared" si="140"/>
        <v>HS 138</v>
      </c>
      <c r="K139" s="1">
        <v>1</v>
      </c>
      <c r="L139" s="56">
        <v>45454</v>
      </c>
      <c r="M139" s="50">
        <v>0</v>
      </c>
      <c r="N139" s="50">
        <v>0</v>
      </c>
      <c r="O139" s="50">
        <v>0</v>
      </c>
      <c r="P139" s="50" t="s">
        <v>250</v>
      </c>
      <c r="Q139" s="50" t="s">
        <v>250</v>
      </c>
      <c r="R139" s="50"/>
      <c r="T139" s="59" t="str">
        <f t="shared" si="138"/>
        <v>HS 138</v>
      </c>
      <c r="U139" s="1">
        <v>2</v>
      </c>
      <c r="V139" s="56">
        <v>45461</v>
      </c>
      <c r="W139" s="50">
        <v>0</v>
      </c>
      <c r="X139" s="50">
        <v>0</v>
      </c>
      <c r="Y139" s="50">
        <f t="shared" si="133"/>
        <v>0</v>
      </c>
      <c r="Z139" s="50" t="s">
        <v>250</v>
      </c>
      <c r="AA139" s="50" t="s">
        <v>250</v>
      </c>
      <c r="AC139" s="50"/>
      <c r="AD139" s="59" t="str">
        <f t="shared" si="141"/>
        <v>HS 138</v>
      </c>
      <c r="AE139" s="1">
        <v>3</v>
      </c>
      <c r="AF139" s="56">
        <v>45468</v>
      </c>
      <c r="AG139" s="50">
        <v>0</v>
      </c>
      <c r="AH139" s="50">
        <v>0</v>
      </c>
      <c r="AI139" s="50">
        <f t="shared" si="131"/>
        <v>0</v>
      </c>
      <c r="AJ139" s="50" t="s">
        <v>250</v>
      </c>
      <c r="AK139" s="57" t="s">
        <v>250</v>
      </c>
      <c r="AM139" s="50"/>
      <c r="AN139" s="59" t="s">
        <v>235</v>
      </c>
      <c r="AO139" s="1">
        <v>4</v>
      </c>
      <c r="AP139" s="56">
        <v>45475</v>
      </c>
      <c r="AQ139" s="50">
        <v>0</v>
      </c>
      <c r="AR139" s="50">
        <v>0</v>
      </c>
      <c r="AS139" s="50">
        <f t="shared" si="134"/>
        <v>0</v>
      </c>
      <c r="AT139" s="50" t="s">
        <v>250</v>
      </c>
      <c r="AU139" s="57" t="s">
        <v>250</v>
      </c>
      <c r="AW139" s="50"/>
      <c r="AX139" s="59" t="s">
        <v>235</v>
      </c>
      <c r="AY139" s="1">
        <v>5</v>
      </c>
      <c r="AZ139" s="56">
        <v>45482</v>
      </c>
      <c r="BA139" s="50">
        <v>4</v>
      </c>
      <c r="BB139" s="50">
        <v>2</v>
      </c>
      <c r="BC139" s="50">
        <f t="shared" si="135"/>
        <v>6</v>
      </c>
      <c r="BD139" s="50" t="s">
        <v>252</v>
      </c>
      <c r="BE139" s="50" t="s">
        <v>250</v>
      </c>
      <c r="BG139" s="50"/>
      <c r="BH139" s="59" t="s">
        <v>235</v>
      </c>
      <c r="BI139" s="1">
        <v>6</v>
      </c>
      <c r="BJ139" s="56">
        <v>45489</v>
      </c>
      <c r="BK139" s="50">
        <v>6</v>
      </c>
      <c r="BL139" s="50">
        <v>4</v>
      </c>
      <c r="BM139" s="50">
        <f t="shared" si="136"/>
        <v>10</v>
      </c>
      <c r="BN139" s="50" t="s">
        <v>252</v>
      </c>
      <c r="BO139" s="50" t="s">
        <v>252</v>
      </c>
      <c r="BQ139" s="50"/>
      <c r="BR139" s="59" t="s">
        <v>235</v>
      </c>
      <c r="BS139" s="1">
        <v>7</v>
      </c>
      <c r="BT139" s="56">
        <v>45496</v>
      </c>
      <c r="BU139" s="50">
        <v>0</v>
      </c>
      <c r="BV139" s="50">
        <v>0</v>
      </c>
      <c r="BW139" s="50">
        <f t="shared" si="137"/>
        <v>0</v>
      </c>
      <c r="BX139" s="50" t="s">
        <v>250</v>
      </c>
      <c r="BY139" s="50" t="s">
        <v>250</v>
      </c>
      <c r="CC139" s="75" t="s">
        <v>235</v>
      </c>
      <c r="CD139" s="76">
        <f t="shared" si="139"/>
        <v>16</v>
      </c>
    </row>
    <row r="140" spans="1:82" ht="14.4" x14ac:dyDescent="0.3">
      <c r="A140" s="50" t="s">
        <v>237</v>
      </c>
      <c r="B140" s="50" t="s">
        <v>232</v>
      </c>
      <c r="C140" s="68">
        <v>32.548360000000002</v>
      </c>
      <c r="D140" s="68">
        <v>-83.408180000000002</v>
      </c>
      <c r="E140" s="70">
        <v>45440</v>
      </c>
      <c r="F140" s="70">
        <v>45447</v>
      </c>
      <c r="G140" s="67">
        <v>45496</v>
      </c>
      <c r="H140" s="1" t="s">
        <v>25</v>
      </c>
      <c r="I140" s="1" t="s">
        <v>26</v>
      </c>
      <c r="J140" s="59" t="str">
        <f t="shared" si="140"/>
        <v>HS 139</v>
      </c>
      <c r="K140" s="1">
        <v>1</v>
      </c>
      <c r="L140" s="56">
        <v>45454</v>
      </c>
      <c r="M140" s="50">
        <v>0</v>
      </c>
      <c r="N140" s="50">
        <v>1</v>
      </c>
      <c r="O140" s="50">
        <f>SUM(N140+M140)</f>
        <v>1</v>
      </c>
      <c r="P140" s="50" t="s">
        <v>250</v>
      </c>
      <c r="Q140" s="50" t="s">
        <v>250</v>
      </c>
      <c r="R140" s="50" t="s">
        <v>257</v>
      </c>
      <c r="T140" s="59" t="str">
        <f t="shared" si="138"/>
        <v>HS 139</v>
      </c>
      <c r="U140" s="1">
        <v>2</v>
      </c>
      <c r="V140" s="56">
        <v>45461</v>
      </c>
      <c r="W140" s="50">
        <v>7</v>
      </c>
      <c r="X140" s="50">
        <v>11</v>
      </c>
      <c r="Y140" s="50">
        <f t="shared" si="133"/>
        <v>18</v>
      </c>
      <c r="Z140" s="50" t="s">
        <v>250</v>
      </c>
      <c r="AA140" s="50" t="s">
        <v>250</v>
      </c>
      <c r="AC140" s="50"/>
      <c r="AD140" s="59" t="str">
        <f t="shared" si="141"/>
        <v>HS 139</v>
      </c>
      <c r="AE140" s="1">
        <v>3</v>
      </c>
      <c r="AF140" s="56">
        <v>45468</v>
      </c>
      <c r="AG140" s="50">
        <v>5</v>
      </c>
      <c r="AH140" s="50">
        <v>7</v>
      </c>
      <c r="AI140" s="50">
        <f t="shared" si="131"/>
        <v>12</v>
      </c>
      <c r="AJ140" s="50" t="s">
        <v>252</v>
      </c>
      <c r="AK140" s="50" t="s">
        <v>250</v>
      </c>
      <c r="AM140" s="50"/>
      <c r="AN140" s="59" t="s">
        <v>237</v>
      </c>
      <c r="AO140" s="1">
        <v>4</v>
      </c>
      <c r="AP140" s="56">
        <v>45475</v>
      </c>
      <c r="AQ140" s="50">
        <v>0</v>
      </c>
      <c r="AR140" s="50">
        <v>0</v>
      </c>
      <c r="AS140" s="50">
        <f t="shared" si="134"/>
        <v>0</v>
      </c>
      <c r="AT140" s="50" t="s">
        <v>250</v>
      </c>
      <c r="AU140" s="57" t="s">
        <v>250</v>
      </c>
      <c r="AW140" s="50"/>
      <c r="AX140" s="59" t="s">
        <v>237</v>
      </c>
      <c r="AY140" s="1">
        <v>5</v>
      </c>
      <c r="AZ140" s="56">
        <v>45482</v>
      </c>
      <c r="BA140" s="50">
        <v>0</v>
      </c>
      <c r="BB140" s="50">
        <v>0</v>
      </c>
      <c r="BC140" s="50">
        <f t="shared" si="135"/>
        <v>0</v>
      </c>
      <c r="BD140" s="50" t="s">
        <v>250</v>
      </c>
      <c r="BE140" s="50" t="s">
        <v>250</v>
      </c>
      <c r="BG140" s="50"/>
      <c r="BH140" s="59" t="s">
        <v>237</v>
      </c>
      <c r="BI140" s="1">
        <v>6</v>
      </c>
      <c r="BJ140" s="56">
        <v>45489</v>
      </c>
      <c r="BK140" s="50">
        <v>4</v>
      </c>
      <c r="BL140" s="50">
        <v>0</v>
      </c>
      <c r="BM140" s="50">
        <f t="shared" si="136"/>
        <v>4</v>
      </c>
      <c r="BN140" s="50" t="s">
        <v>252</v>
      </c>
      <c r="BO140" s="50" t="s">
        <v>250</v>
      </c>
      <c r="BQ140" s="50"/>
      <c r="BR140" s="59" t="s">
        <v>237</v>
      </c>
      <c r="BS140" s="1">
        <v>7</v>
      </c>
      <c r="BT140" s="56">
        <v>45496</v>
      </c>
      <c r="BU140" s="50">
        <v>0</v>
      </c>
      <c r="BV140" s="50">
        <v>0</v>
      </c>
      <c r="BW140" s="50">
        <f t="shared" ref="BW140" si="144">SUM(BU140+BV140)</f>
        <v>0</v>
      </c>
      <c r="BX140" s="50" t="s">
        <v>250</v>
      </c>
      <c r="BY140" s="50" t="s">
        <v>250</v>
      </c>
      <c r="CC140" s="75" t="s">
        <v>237</v>
      </c>
      <c r="CD140" s="76">
        <f t="shared" si="139"/>
        <v>35</v>
      </c>
    </row>
    <row r="141" spans="1:82" ht="14.4" x14ac:dyDescent="0.3">
      <c r="A141" s="50" t="s">
        <v>236</v>
      </c>
      <c r="B141" s="50" t="s">
        <v>232</v>
      </c>
      <c r="C141" s="68">
        <v>32.560589999999998</v>
      </c>
      <c r="D141" s="68">
        <v>-83.423879999999997</v>
      </c>
      <c r="E141" s="70">
        <v>45440</v>
      </c>
      <c r="F141" s="70">
        <v>45447</v>
      </c>
      <c r="G141" s="67">
        <v>45496</v>
      </c>
      <c r="H141" s="1" t="s">
        <v>25</v>
      </c>
      <c r="I141" s="1" t="s">
        <v>26</v>
      </c>
      <c r="J141" s="59" t="str">
        <f t="shared" si="140"/>
        <v>HS 140</v>
      </c>
      <c r="K141" s="1">
        <v>1</v>
      </c>
      <c r="L141" s="56">
        <v>45454</v>
      </c>
      <c r="M141" s="50">
        <v>0</v>
      </c>
      <c r="N141" s="50">
        <v>0</v>
      </c>
      <c r="O141" s="50">
        <v>0</v>
      </c>
      <c r="P141" s="50" t="s">
        <v>250</v>
      </c>
      <c r="Q141" s="50" t="s">
        <v>250</v>
      </c>
      <c r="R141" s="50"/>
      <c r="T141" s="59" t="str">
        <f t="shared" si="138"/>
        <v>HS 140</v>
      </c>
      <c r="U141" s="1">
        <v>2</v>
      </c>
      <c r="V141" s="56">
        <v>45461</v>
      </c>
      <c r="W141" s="50">
        <v>0</v>
      </c>
      <c r="X141" s="50">
        <v>0</v>
      </c>
      <c r="Y141" s="50">
        <f t="shared" si="133"/>
        <v>0</v>
      </c>
      <c r="Z141" s="50" t="s">
        <v>250</v>
      </c>
      <c r="AA141" s="50" t="s">
        <v>250</v>
      </c>
      <c r="AC141" s="50"/>
      <c r="AD141" s="59" t="str">
        <f t="shared" si="141"/>
        <v>HS 140</v>
      </c>
      <c r="AE141" s="1">
        <v>3</v>
      </c>
      <c r="AF141" s="56">
        <v>45468</v>
      </c>
      <c r="AG141" s="50">
        <v>0</v>
      </c>
      <c r="AH141" s="50">
        <v>0</v>
      </c>
      <c r="AI141" s="50">
        <f t="shared" ref="AI141:AI142" si="145">SUM(AG141+AH141)</f>
        <v>0</v>
      </c>
      <c r="AJ141" s="50" t="s">
        <v>250</v>
      </c>
      <c r="AK141" s="57" t="s">
        <v>250</v>
      </c>
      <c r="AM141" s="50"/>
      <c r="AN141" s="59" t="s">
        <v>236</v>
      </c>
      <c r="AO141" s="1">
        <v>4</v>
      </c>
      <c r="AP141" s="56">
        <v>45475</v>
      </c>
      <c r="AQ141" s="50">
        <v>0</v>
      </c>
      <c r="AR141" s="50">
        <v>0</v>
      </c>
      <c r="AS141" s="50">
        <f t="shared" si="134"/>
        <v>0</v>
      </c>
      <c r="AT141" s="50" t="s">
        <v>250</v>
      </c>
      <c r="AU141" s="57" t="s">
        <v>250</v>
      </c>
      <c r="AW141" s="50"/>
      <c r="AX141" s="59" t="s">
        <v>236</v>
      </c>
      <c r="AY141" s="1">
        <v>5</v>
      </c>
      <c r="AZ141" s="56">
        <v>45482</v>
      </c>
      <c r="BA141" s="50">
        <v>0</v>
      </c>
      <c r="BB141" s="50">
        <v>0</v>
      </c>
      <c r="BC141" s="50">
        <f t="shared" ref="BC141:BC142" si="146">SUM(BA141+BB141)</f>
        <v>0</v>
      </c>
      <c r="BD141" s="50" t="s">
        <v>250</v>
      </c>
      <c r="BE141" s="50" t="s">
        <v>250</v>
      </c>
      <c r="BG141" s="50"/>
      <c r="BH141" s="59" t="s">
        <v>236</v>
      </c>
      <c r="BI141" s="1">
        <v>6</v>
      </c>
      <c r="BJ141" s="56">
        <v>45489</v>
      </c>
      <c r="BK141" s="50">
        <v>0</v>
      </c>
      <c r="BL141" s="50">
        <v>0</v>
      </c>
      <c r="BM141" s="50">
        <f t="shared" si="136"/>
        <v>0</v>
      </c>
      <c r="BN141" s="50" t="s">
        <v>250</v>
      </c>
      <c r="BO141" s="50" t="s">
        <v>250</v>
      </c>
      <c r="BQ141" s="50"/>
      <c r="BR141" s="59" t="s">
        <v>236</v>
      </c>
      <c r="BS141" s="1">
        <v>7</v>
      </c>
      <c r="BT141" s="56">
        <v>45496</v>
      </c>
      <c r="BU141" s="50">
        <v>0</v>
      </c>
      <c r="BV141" s="50">
        <v>0</v>
      </c>
      <c r="BW141" s="50">
        <f t="shared" ref="BW141:BW142" si="147">SUM(BU141+BV141)</f>
        <v>0</v>
      </c>
      <c r="BX141" s="50" t="s">
        <v>250</v>
      </c>
      <c r="BY141" s="50" t="s">
        <v>250</v>
      </c>
      <c r="CC141" s="75" t="s">
        <v>236</v>
      </c>
      <c r="CD141" s="76">
        <f t="shared" si="139"/>
        <v>0</v>
      </c>
    </row>
    <row r="142" spans="1:82" ht="14.4" x14ac:dyDescent="0.3">
      <c r="A142" s="50" t="s">
        <v>242</v>
      </c>
      <c r="B142" s="50" t="s">
        <v>96</v>
      </c>
      <c r="C142" s="68">
        <v>32.610550000000003</v>
      </c>
      <c r="D142" s="68">
        <v>-83.426689999999994</v>
      </c>
      <c r="E142" s="70">
        <v>45441</v>
      </c>
      <c r="F142" s="70">
        <v>45447</v>
      </c>
      <c r="G142" s="67">
        <v>45501</v>
      </c>
      <c r="H142" s="1" t="s">
        <v>25</v>
      </c>
      <c r="I142" s="1" t="s">
        <v>26</v>
      </c>
      <c r="J142" s="59" t="str">
        <f t="shared" si="140"/>
        <v>HS 141</v>
      </c>
      <c r="K142" s="1">
        <v>1</v>
      </c>
      <c r="L142" s="56">
        <v>45454</v>
      </c>
      <c r="M142" s="50">
        <v>1</v>
      </c>
      <c r="N142" s="50">
        <v>0</v>
      </c>
      <c r="O142" s="50">
        <f t="shared" si="130"/>
        <v>1</v>
      </c>
      <c r="P142" s="50" t="s">
        <v>250</v>
      </c>
      <c r="Q142" s="50" t="s">
        <v>250</v>
      </c>
      <c r="R142" s="50" t="s">
        <v>255</v>
      </c>
      <c r="T142" s="59" t="str">
        <f t="shared" si="138"/>
        <v>HS 141</v>
      </c>
      <c r="U142" s="1">
        <v>2</v>
      </c>
      <c r="V142" s="56">
        <v>45461</v>
      </c>
      <c r="W142" s="50">
        <v>7</v>
      </c>
      <c r="X142" s="50">
        <v>3</v>
      </c>
      <c r="Y142" s="50">
        <f t="shared" si="133"/>
        <v>10</v>
      </c>
      <c r="Z142" s="50" t="s">
        <v>252</v>
      </c>
      <c r="AA142" s="50" t="s">
        <v>250</v>
      </c>
      <c r="AC142" s="50"/>
      <c r="AD142" s="59" t="str">
        <f t="shared" si="141"/>
        <v>HS 141</v>
      </c>
      <c r="AE142" s="1">
        <v>3</v>
      </c>
      <c r="AF142" s="56">
        <v>45468</v>
      </c>
      <c r="AG142" s="50">
        <v>0</v>
      </c>
      <c r="AH142" s="50">
        <v>0</v>
      </c>
      <c r="AI142" s="50">
        <f t="shared" si="145"/>
        <v>0</v>
      </c>
      <c r="AJ142" s="50" t="s">
        <v>250</v>
      </c>
      <c r="AK142" s="57" t="s">
        <v>250</v>
      </c>
      <c r="AM142" s="50"/>
      <c r="AN142" s="59" t="s">
        <v>242</v>
      </c>
      <c r="AO142" s="1">
        <v>4</v>
      </c>
      <c r="AP142" s="56">
        <v>45475</v>
      </c>
      <c r="AQ142" s="50">
        <v>1</v>
      </c>
      <c r="AR142" s="50">
        <v>2</v>
      </c>
      <c r="AS142" s="50">
        <f t="shared" si="134"/>
        <v>3</v>
      </c>
      <c r="AT142" s="50" t="s">
        <v>252</v>
      </c>
      <c r="AU142" s="57" t="s">
        <v>250</v>
      </c>
      <c r="AW142" s="50"/>
      <c r="AX142" s="59" t="s">
        <v>242</v>
      </c>
      <c r="AY142" s="1">
        <v>5</v>
      </c>
      <c r="AZ142" s="56">
        <v>45482</v>
      </c>
      <c r="BA142" s="50">
        <v>3</v>
      </c>
      <c r="BB142" s="50">
        <v>2</v>
      </c>
      <c r="BC142" s="50">
        <f t="shared" si="146"/>
        <v>5</v>
      </c>
      <c r="BD142" s="50" t="s">
        <v>252</v>
      </c>
      <c r="BE142" s="50" t="s">
        <v>250</v>
      </c>
      <c r="BG142" s="50"/>
      <c r="BH142" s="59" t="s">
        <v>242</v>
      </c>
      <c r="BI142" s="1">
        <v>6</v>
      </c>
      <c r="BJ142" s="56">
        <v>45489</v>
      </c>
      <c r="BK142" s="50">
        <v>2</v>
      </c>
      <c r="BL142" s="50">
        <v>4</v>
      </c>
      <c r="BM142" s="50">
        <f t="shared" si="136"/>
        <v>6</v>
      </c>
      <c r="BN142" s="50" t="s">
        <v>252</v>
      </c>
      <c r="BO142" s="50" t="s">
        <v>250</v>
      </c>
      <c r="BQ142" s="50"/>
      <c r="BR142" s="59" t="s">
        <v>242</v>
      </c>
      <c r="BS142" s="1">
        <v>7</v>
      </c>
      <c r="BT142" s="56">
        <v>45496</v>
      </c>
      <c r="BU142" s="50">
        <v>0</v>
      </c>
      <c r="BV142" s="50">
        <v>2</v>
      </c>
      <c r="BW142" s="50">
        <f t="shared" si="147"/>
        <v>2</v>
      </c>
      <c r="BX142" s="50" t="s">
        <v>252</v>
      </c>
      <c r="BY142" s="50" t="s">
        <v>250</v>
      </c>
      <c r="CC142" s="75" t="s">
        <v>242</v>
      </c>
      <c r="CD142" s="76">
        <f t="shared" si="139"/>
        <v>27</v>
      </c>
    </row>
    <row r="143" spans="1:82" ht="14.4" x14ac:dyDescent="0.3">
      <c r="A143" s="50" t="s">
        <v>243</v>
      </c>
      <c r="B143" s="50" t="s">
        <v>96</v>
      </c>
      <c r="C143" s="68">
        <v>32.609729999999999</v>
      </c>
      <c r="D143" s="68">
        <v>-83.445089999999993</v>
      </c>
      <c r="E143" s="70">
        <v>45441</v>
      </c>
      <c r="F143" s="70">
        <v>45447</v>
      </c>
      <c r="G143" s="67">
        <v>45501</v>
      </c>
      <c r="H143" s="1" t="s">
        <v>25</v>
      </c>
      <c r="I143" s="1" t="s">
        <v>26</v>
      </c>
      <c r="J143" s="59" t="str">
        <f t="shared" si="140"/>
        <v>HS 142</v>
      </c>
      <c r="K143" s="1">
        <v>1</v>
      </c>
      <c r="L143" s="56">
        <v>45454</v>
      </c>
      <c r="M143" s="50">
        <v>0</v>
      </c>
      <c r="N143" s="50">
        <v>0</v>
      </c>
      <c r="O143" s="50">
        <v>0</v>
      </c>
      <c r="P143" s="50" t="s">
        <v>250</v>
      </c>
      <c r="Q143" s="50" t="s">
        <v>250</v>
      </c>
      <c r="R143" s="50"/>
      <c r="T143" s="59" t="str">
        <f t="shared" si="138"/>
        <v>HS 142</v>
      </c>
      <c r="U143" s="1">
        <v>2</v>
      </c>
      <c r="V143" s="56">
        <v>45461</v>
      </c>
      <c r="W143" s="50">
        <v>10</v>
      </c>
      <c r="X143" s="50">
        <v>14</v>
      </c>
      <c r="Y143" s="50">
        <f t="shared" si="133"/>
        <v>24</v>
      </c>
      <c r="Z143" s="50" t="s">
        <v>252</v>
      </c>
      <c r="AA143" s="50" t="s">
        <v>250</v>
      </c>
      <c r="AC143" s="50"/>
      <c r="AD143" s="59" t="str">
        <f t="shared" si="141"/>
        <v>HS 142</v>
      </c>
      <c r="AE143" s="1">
        <v>3</v>
      </c>
      <c r="AF143" s="56">
        <v>45468</v>
      </c>
      <c r="AG143" s="50">
        <v>5</v>
      </c>
      <c r="AH143" s="50">
        <v>5</v>
      </c>
      <c r="AI143" s="50">
        <f t="shared" si="131"/>
        <v>10</v>
      </c>
      <c r="AJ143" s="50" t="s">
        <v>252</v>
      </c>
      <c r="AK143" s="50" t="s">
        <v>250</v>
      </c>
      <c r="AM143" s="50"/>
      <c r="AN143" s="59" t="s">
        <v>243</v>
      </c>
      <c r="AO143" s="1">
        <v>4</v>
      </c>
      <c r="AP143" s="56">
        <v>45475</v>
      </c>
      <c r="AQ143" s="50">
        <v>3</v>
      </c>
      <c r="AR143" s="50">
        <v>2</v>
      </c>
      <c r="AS143" s="50">
        <f t="shared" si="134"/>
        <v>5</v>
      </c>
      <c r="AT143" s="50" t="s">
        <v>252</v>
      </c>
      <c r="AU143" s="50" t="s">
        <v>250</v>
      </c>
      <c r="AW143" s="50"/>
      <c r="AX143" s="59" t="s">
        <v>243</v>
      </c>
      <c r="AY143" s="1">
        <v>5</v>
      </c>
      <c r="AZ143" s="56">
        <v>45482</v>
      </c>
      <c r="BA143" s="50">
        <v>1</v>
      </c>
      <c r="BB143" s="50">
        <v>2</v>
      </c>
      <c r="BC143" s="50">
        <f t="shared" si="135"/>
        <v>3</v>
      </c>
      <c r="BD143" s="50" t="s">
        <v>252</v>
      </c>
      <c r="BE143" s="50" t="s">
        <v>250</v>
      </c>
      <c r="BG143" s="50"/>
      <c r="BH143" s="59" t="s">
        <v>243</v>
      </c>
      <c r="BI143" s="1">
        <v>6</v>
      </c>
      <c r="BJ143" s="56">
        <v>45489</v>
      </c>
      <c r="BK143" s="50">
        <v>7</v>
      </c>
      <c r="BL143" s="50">
        <v>8</v>
      </c>
      <c r="BM143" s="50">
        <f t="shared" si="136"/>
        <v>15</v>
      </c>
      <c r="BN143" s="50" t="s">
        <v>252</v>
      </c>
      <c r="BO143" s="50" t="s">
        <v>250</v>
      </c>
      <c r="BQ143" s="50"/>
      <c r="BR143" s="59" t="s">
        <v>243</v>
      </c>
      <c r="BS143" s="1">
        <v>7</v>
      </c>
      <c r="BT143" s="56">
        <v>45496</v>
      </c>
      <c r="BU143" s="50">
        <v>0</v>
      </c>
      <c r="BV143" s="50">
        <v>0</v>
      </c>
      <c r="BW143" s="50">
        <v>0</v>
      </c>
      <c r="BX143" s="50" t="s">
        <v>250</v>
      </c>
      <c r="BY143" s="50" t="s">
        <v>250</v>
      </c>
      <c r="CC143" s="75" t="s">
        <v>243</v>
      </c>
      <c r="CD143" s="76">
        <f t="shared" si="139"/>
        <v>57</v>
      </c>
    </row>
    <row r="144" spans="1:82" ht="14.4" x14ac:dyDescent="0.3">
      <c r="A144" s="50" t="s">
        <v>244</v>
      </c>
      <c r="B144" s="50" t="s">
        <v>96</v>
      </c>
      <c r="C144" s="68">
        <v>32.618949999999998</v>
      </c>
      <c r="D144" s="68">
        <v>-83.449269999999999</v>
      </c>
      <c r="E144" s="70">
        <v>45441</v>
      </c>
      <c r="F144" s="70">
        <v>45447</v>
      </c>
      <c r="G144" s="67">
        <v>45501</v>
      </c>
      <c r="H144" s="1" t="s">
        <v>25</v>
      </c>
      <c r="I144" s="1" t="s">
        <v>26</v>
      </c>
      <c r="J144" s="59" t="str">
        <f t="shared" si="140"/>
        <v>HS 143</v>
      </c>
      <c r="K144" s="1">
        <v>1</v>
      </c>
      <c r="L144" s="56">
        <v>45454</v>
      </c>
      <c r="M144" s="50">
        <v>0</v>
      </c>
      <c r="N144" s="50">
        <v>0</v>
      </c>
      <c r="O144" s="50">
        <f t="shared" si="130"/>
        <v>0</v>
      </c>
      <c r="P144" s="50" t="s">
        <v>250</v>
      </c>
      <c r="Q144" s="50" t="s">
        <v>250</v>
      </c>
      <c r="R144" s="50"/>
      <c r="T144" s="59" t="str">
        <f t="shared" si="138"/>
        <v>HS 143</v>
      </c>
      <c r="U144" s="1">
        <v>2</v>
      </c>
      <c r="V144" s="56">
        <v>45461</v>
      </c>
      <c r="W144" s="50">
        <v>0</v>
      </c>
      <c r="X144" s="50">
        <v>0</v>
      </c>
      <c r="Y144" s="50">
        <f t="shared" si="133"/>
        <v>0</v>
      </c>
      <c r="Z144" s="50" t="s">
        <v>250</v>
      </c>
      <c r="AA144" s="50" t="s">
        <v>250</v>
      </c>
      <c r="AC144" s="50"/>
      <c r="AD144" s="59" t="str">
        <f t="shared" si="141"/>
        <v>HS 143</v>
      </c>
      <c r="AE144" s="1">
        <v>3</v>
      </c>
      <c r="AF144" s="56">
        <v>45468</v>
      </c>
      <c r="AG144" s="50">
        <v>7</v>
      </c>
      <c r="AH144" s="50">
        <v>5</v>
      </c>
      <c r="AI144" s="50">
        <f t="shared" si="131"/>
        <v>12</v>
      </c>
      <c r="AJ144" s="50" t="s">
        <v>252</v>
      </c>
      <c r="AK144" s="50" t="s">
        <v>250</v>
      </c>
      <c r="AM144" s="50"/>
      <c r="AN144" s="59" t="s">
        <v>244</v>
      </c>
      <c r="AO144" s="1">
        <v>4</v>
      </c>
      <c r="AP144" s="56">
        <v>45475</v>
      </c>
      <c r="AQ144" s="50">
        <v>0</v>
      </c>
      <c r="AR144" s="50">
        <v>0</v>
      </c>
      <c r="AS144" s="50">
        <f t="shared" si="134"/>
        <v>0</v>
      </c>
      <c r="AT144" s="50" t="s">
        <v>250</v>
      </c>
      <c r="AU144" s="50" t="s">
        <v>250</v>
      </c>
      <c r="AW144" s="50"/>
      <c r="AX144" s="59" t="s">
        <v>244</v>
      </c>
      <c r="AY144" s="1">
        <v>5</v>
      </c>
      <c r="AZ144" s="56">
        <v>45482</v>
      </c>
      <c r="BA144" s="50">
        <v>0</v>
      </c>
      <c r="BB144" s="50">
        <v>2</v>
      </c>
      <c r="BC144" s="50">
        <f t="shared" si="135"/>
        <v>2</v>
      </c>
      <c r="BD144" s="50" t="s">
        <v>252</v>
      </c>
      <c r="BE144" s="50" t="s">
        <v>250</v>
      </c>
      <c r="BG144" s="50"/>
      <c r="BH144" s="59" t="s">
        <v>244</v>
      </c>
      <c r="BI144" s="1">
        <v>6</v>
      </c>
      <c r="BJ144" s="56">
        <v>45489</v>
      </c>
      <c r="BK144" s="50">
        <v>0</v>
      </c>
      <c r="BL144" s="50">
        <v>0</v>
      </c>
      <c r="BM144" s="50">
        <f t="shared" si="136"/>
        <v>0</v>
      </c>
      <c r="BN144" s="50" t="s">
        <v>250</v>
      </c>
      <c r="BO144" s="50" t="s">
        <v>250</v>
      </c>
      <c r="BQ144" s="50"/>
      <c r="BR144" s="59" t="s">
        <v>244</v>
      </c>
      <c r="BS144" s="1">
        <v>7</v>
      </c>
      <c r="BT144" s="56">
        <v>45496</v>
      </c>
      <c r="BU144" s="50">
        <v>0</v>
      </c>
      <c r="BV144" s="50">
        <v>0</v>
      </c>
      <c r="BW144" s="50">
        <v>0</v>
      </c>
      <c r="BX144" s="50" t="s">
        <v>250</v>
      </c>
      <c r="BY144" s="50" t="s">
        <v>250</v>
      </c>
      <c r="CC144" s="75" t="s">
        <v>244</v>
      </c>
      <c r="CD144" s="76">
        <f t="shared" si="139"/>
        <v>14</v>
      </c>
    </row>
    <row r="145" spans="1:82" ht="14.4" x14ac:dyDescent="0.3">
      <c r="A145" s="50" t="s">
        <v>241</v>
      </c>
      <c r="B145" s="50" t="s">
        <v>81</v>
      </c>
      <c r="C145" s="68">
        <v>32.485610000000001</v>
      </c>
      <c r="D145" s="68">
        <v>-83.529970000000006</v>
      </c>
      <c r="E145" s="70">
        <v>45428</v>
      </c>
      <c r="F145" s="70">
        <v>45449</v>
      </c>
      <c r="G145" s="67">
        <v>45498</v>
      </c>
      <c r="H145" s="1" t="s">
        <v>25</v>
      </c>
      <c r="I145" s="1" t="s">
        <v>26</v>
      </c>
      <c r="J145" s="59" t="str">
        <f t="shared" si="140"/>
        <v>HS 144</v>
      </c>
      <c r="K145" s="1">
        <v>1</v>
      </c>
      <c r="L145" s="56">
        <v>45456</v>
      </c>
      <c r="M145" s="50">
        <v>0</v>
      </c>
      <c r="N145" s="50">
        <v>0</v>
      </c>
      <c r="O145" s="50">
        <f t="shared" si="130"/>
        <v>0</v>
      </c>
      <c r="P145" s="50" t="s">
        <v>250</v>
      </c>
      <c r="Q145" s="50" t="s">
        <v>250</v>
      </c>
      <c r="R145" s="50"/>
      <c r="T145" s="59" t="str">
        <f t="shared" si="138"/>
        <v>HS 144</v>
      </c>
      <c r="U145" s="1">
        <v>2</v>
      </c>
      <c r="V145" s="56">
        <v>45463</v>
      </c>
      <c r="W145" s="50">
        <v>0</v>
      </c>
      <c r="X145" s="50">
        <v>0</v>
      </c>
      <c r="Y145" s="50">
        <f t="shared" si="133"/>
        <v>0</v>
      </c>
      <c r="Z145" s="50" t="s">
        <v>250</v>
      </c>
      <c r="AA145" s="50" t="s">
        <v>250</v>
      </c>
      <c r="AC145" s="50"/>
      <c r="AD145" s="59" t="str">
        <f t="shared" si="141"/>
        <v>HS 144</v>
      </c>
      <c r="AE145" s="1">
        <v>3</v>
      </c>
      <c r="AF145" s="56">
        <v>45460</v>
      </c>
      <c r="AG145" s="50">
        <v>0</v>
      </c>
      <c r="AH145" s="50">
        <v>0</v>
      </c>
      <c r="AI145" s="50">
        <f t="shared" si="131"/>
        <v>0</v>
      </c>
      <c r="AJ145" s="50" t="s">
        <v>250</v>
      </c>
      <c r="AK145" s="57" t="s">
        <v>250</v>
      </c>
      <c r="AM145" s="50"/>
      <c r="AN145" s="59" t="s">
        <v>241</v>
      </c>
      <c r="AO145" s="1">
        <v>4</v>
      </c>
      <c r="AP145" s="56">
        <v>45477</v>
      </c>
      <c r="AQ145" s="50">
        <v>2</v>
      </c>
      <c r="AR145" s="50">
        <v>6</v>
      </c>
      <c r="AS145" s="50">
        <f t="shared" si="134"/>
        <v>8</v>
      </c>
      <c r="AT145" s="50" t="s">
        <v>252</v>
      </c>
      <c r="AU145" s="50" t="s">
        <v>250</v>
      </c>
      <c r="AW145" s="50"/>
      <c r="AX145" s="59" t="s">
        <v>241</v>
      </c>
      <c r="AY145" s="1">
        <v>5</v>
      </c>
      <c r="AZ145" s="56">
        <v>45484</v>
      </c>
      <c r="BA145" s="50">
        <v>0</v>
      </c>
      <c r="BB145" s="50">
        <v>0</v>
      </c>
      <c r="BC145" s="50">
        <f t="shared" si="135"/>
        <v>0</v>
      </c>
      <c r="BD145" s="50" t="s">
        <v>250</v>
      </c>
      <c r="BE145" s="50" t="s">
        <v>250</v>
      </c>
      <c r="BG145" s="50"/>
      <c r="BH145" s="59" t="s">
        <v>241</v>
      </c>
      <c r="BI145" s="1">
        <v>6</v>
      </c>
      <c r="BJ145" s="56">
        <v>45491</v>
      </c>
      <c r="BK145" s="50">
        <v>0</v>
      </c>
      <c r="BL145" s="50">
        <v>0</v>
      </c>
      <c r="BM145" s="50">
        <f t="shared" si="136"/>
        <v>0</v>
      </c>
      <c r="BN145" s="50" t="s">
        <v>250</v>
      </c>
      <c r="BO145" s="50" t="s">
        <v>252</v>
      </c>
      <c r="BP145" s="50" t="s">
        <v>298</v>
      </c>
      <c r="BQ145" s="50"/>
      <c r="BR145" s="59" t="s">
        <v>241</v>
      </c>
      <c r="BS145" s="1">
        <v>7</v>
      </c>
      <c r="BT145" s="56">
        <v>45496</v>
      </c>
      <c r="BU145" s="50">
        <v>0</v>
      </c>
      <c r="BV145" s="50">
        <v>1</v>
      </c>
      <c r="BW145" s="50">
        <v>1</v>
      </c>
      <c r="BX145" s="50" t="s">
        <v>252</v>
      </c>
      <c r="BY145" s="50" t="s">
        <v>250</v>
      </c>
      <c r="CC145" s="75" t="s">
        <v>241</v>
      </c>
      <c r="CD145" s="76">
        <f t="shared" si="139"/>
        <v>9</v>
      </c>
    </row>
    <row r="146" spans="1:82" thickBot="1" x14ac:dyDescent="0.35">
      <c r="A146" s="61" t="s">
        <v>245</v>
      </c>
      <c r="B146" s="61" t="s">
        <v>96</v>
      </c>
      <c r="C146" s="69">
        <v>32.576599999999999</v>
      </c>
      <c r="D146" s="69">
        <v>-83.474159999999998</v>
      </c>
      <c r="E146" s="71">
        <v>45446</v>
      </c>
      <c r="F146" s="71">
        <v>45446</v>
      </c>
      <c r="G146" s="71">
        <v>45501</v>
      </c>
      <c r="H146" s="63" t="s">
        <v>25</v>
      </c>
      <c r="I146" s="63" t="s">
        <v>26</v>
      </c>
      <c r="J146" s="64" t="str">
        <f>A146</f>
        <v>HS 145</v>
      </c>
      <c r="K146" s="63">
        <v>1</v>
      </c>
      <c r="L146" s="62">
        <v>45453</v>
      </c>
      <c r="M146" s="61">
        <v>0</v>
      </c>
      <c r="N146" s="61">
        <v>0</v>
      </c>
      <c r="O146" s="61">
        <f t="shared" si="130"/>
        <v>0</v>
      </c>
      <c r="P146" s="61" t="s">
        <v>250</v>
      </c>
      <c r="Q146" s="61" t="s">
        <v>250</v>
      </c>
      <c r="R146" s="61"/>
      <c r="S146" s="61"/>
      <c r="T146" s="64" t="str">
        <f t="shared" si="138"/>
        <v>HS 145</v>
      </c>
      <c r="U146" s="63">
        <v>2</v>
      </c>
      <c r="V146" s="62">
        <v>45460</v>
      </c>
      <c r="W146" s="61">
        <v>0</v>
      </c>
      <c r="X146" s="61">
        <v>0</v>
      </c>
      <c r="Y146" s="61">
        <f t="shared" si="133"/>
        <v>0</v>
      </c>
      <c r="Z146" s="61" t="s">
        <v>250</v>
      </c>
      <c r="AA146" s="72" t="s">
        <v>250</v>
      </c>
      <c r="AB146" s="61"/>
      <c r="AC146" s="61"/>
      <c r="AD146" s="64" t="str">
        <f t="shared" si="141"/>
        <v>HS 145</v>
      </c>
      <c r="AE146" s="63">
        <v>3</v>
      </c>
      <c r="AF146" s="62">
        <v>45467</v>
      </c>
      <c r="AG146" s="61">
        <v>0</v>
      </c>
      <c r="AH146" s="61">
        <v>0</v>
      </c>
      <c r="AI146" s="61">
        <f t="shared" si="131"/>
        <v>0</v>
      </c>
      <c r="AJ146" s="61" t="s">
        <v>250</v>
      </c>
      <c r="AK146" s="72" t="s">
        <v>250</v>
      </c>
      <c r="AL146" s="61"/>
      <c r="AM146" s="61"/>
      <c r="AN146" s="64" t="s">
        <v>245</v>
      </c>
      <c r="AO146" s="63">
        <v>4</v>
      </c>
      <c r="AP146" s="62">
        <v>45474</v>
      </c>
      <c r="AQ146" s="61">
        <v>0</v>
      </c>
      <c r="AR146" s="61">
        <v>0</v>
      </c>
      <c r="AS146" s="61">
        <f t="shared" si="134"/>
        <v>0</v>
      </c>
      <c r="AT146" s="61" t="s">
        <v>250</v>
      </c>
      <c r="AU146" s="61" t="s">
        <v>250</v>
      </c>
      <c r="AV146" s="61"/>
      <c r="AW146" s="61"/>
      <c r="AX146" s="64" t="s">
        <v>245</v>
      </c>
      <c r="AY146" s="63">
        <v>5</v>
      </c>
      <c r="AZ146" s="62">
        <v>45481</v>
      </c>
      <c r="BA146" s="61">
        <v>0</v>
      </c>
      <c r="BB146" s="61">
        <v>0</v>
      </c>
      <c r="BC146" s="61">
        <f t="shared" si="135"/>
        <v>0</v>
      </c>
      <c r="BD146" s="61" t="s">
        <v>250</v>
      </c>
      <c r="BE146" s="61" t="s">
        <v>250</v>
      </c>
      <c r="BF146" s="61"/>
      <c r="BG146" s="61"/>
      <c r="BH146" s="64" t="s">
        <v>245</v>
      </c>
      <c r="BI146" s="63">
        <v>6</v>
      </c>
      <c r="BJ146" s="62">
        <v>45488</v>
      </c>
      <c r="BK146" s="61">
        <v>0</v>
      </c>
      <c r="BL146" s="61">
        <v>0</v>
      </c>
      <c r="BM146" s="61">
        <f t="shared" si="136"/>
        <v>0</v>
      </c>
      <c r="BN146" s="61" t="s">
        <v>250</v>
      </c>
      <c r="BO146" s="61" t="s">
        <v>250</v>
      </c>
      <c r="BP146" s="61"/>
      <c r="BQ146" s="61"/>
      <c r="BR146" s="64" t="s">
        <v>245</v>
      </c>
      <c r="BS146" s="63">
        <v>7</v>
      </c>
      <c r="BT146" s="62">
        <v>45495</v>
      </c>
      <c r="BU146" s="61">
        <v>0</v>
      </c>
      <c r="BV146" s="61">
        <v>0</v>
      </c>
      <c r="BW146" s="61">
        <f t="shared" si="137"/>
        <v>0</v>
      </c>
      <c r="BX146" s="61" t="s">
        <v>250</v>
      </c>
      <c r="BY146" s="61" t="s">
        <v>250</v>
      </c>
      <c r="BZ146" s="61"/>
      <c r="CA146" s="65"/>
      <c r="CC146" s="79" t="s">
        <v>245</v>
      </c>
      <c r="CD146" s="80">
        <f t="shared" si="139"/>
        <v>0</v>
      </c>
    </row>
    <row r="147" spans="1:82" ht="15" customHeight="1" x14ac:dyDescent="0.3">
      <c r="AC147" s="50"/>
      <c r="AM147" s="50"/>
      <c r="AW147" s="50"/>
      <c r="BG147" s="50"/>
      <c r="BQ147" s="50"/>
      <c r="CA147" s="50"/>
    </row>
    <row r="148" spans="1:82" ht="15" customHeight="1" x14ac:dyDescent="0.3">
      <c r="AC148" s="50"/>
      <c r="AM148" s="50"/>
      <c r="AW148" s="50"/>
      <c r="BG148" s="50"/>
      <c r="BQ148" s="50"/>
      <c r="CA148" s="50"/>
    </row>
    <row r="149" spans="1:82" ht="15" customHeight="1" x14ac:dyDescent="0.3">
      <c r="AC149" s="50"/>
      <c r="AM149" s="50"/>
      <c r="AW149" s="50"/>
      <c r="BG149" s="50"/>
      <c r="BQ149" s="50"/>
      <c r="CA149" s="50"/>
    </row>
    <row r="150" spans="1:82" ht="15" customHeight="1" x14ac:dyDescent="0.3">
      <c r="AC150" s="50"/>
      <c r="AM150" s="50"/>
      <c r="AW150" s="50"/>
      <c r="BG150" s="50"/>
      <c r="BQ150" s="50"/>
      <c r="CA150" s="50"/>
    </row>
    <row r="151" spans="1:82" ht="15" customHeight="1" x14ac:dyDescent="0.3">
      <c r="AC151" s="50"/>
      <c r="AM151" s="50"/>
      <c r="AW151" s="50"/>
      <c r="BG151" s="50"/>
      <c r="BQ151" s="50"/>
      <c r="CA151" s="50"/>
    </row>
    <row r="152" spans="1:82" ht="15" customHeight="1" x14ac:dyDescent="0.3">
      <c r="AC152" s="50"/>
      <c r="AM152" s="50"/>
      <c r="AW152" s="50"/>
      <c r="BG152" s="50"/>
      <c r="BQ152" s="50"/>
      <c r="CA152" s="50"/>
    </row>
    <row r="153" spans="1:82" ht="15" customHeight="1" x14ac:dyDescent="0.3">
      <c r="AC153" s="50"/>
      <c r="AM153" s="50"/>
      <c r="AW153" s="50"/>
      <c r="BG153" s="50"/>
      <c r="BQ153" s="50"/>
      <c r="CA153" s="50"/>
    </row>
    <row r="154" spans="1:82" ht="15" customHeight="1" x14ac:dyDescent="0.3">
      <c r="AC154" s="50"/>
      <c r="AM154" s="50"/>
      <c r="AW154" s="50"/>
      <c r="BG154" s="50"/>
      <c r="BQ154" s="50"/>
      <c r="CA154" s="50"/>
    </row>
    <row r="155" spans="1:82" ht="15" customHeight="1" x14ac:dyDescent="0.3">
      <c r="AC155" s="50"/>
      <c r="AM155" s="50"/>
      <c r="AW155" s="50"/>
      <c r="BG155" s="50"/>
      <c r="BQ155" s="50"/>
      <c r="CA155" s="50"/>
    </row>
    <row r="156" spans="1:82" ht="15" customHeight="1" x14ac:dyDescent="0.3">
      <c r="AC156" s="50"/>
      <c r="AM156" s="50"/>
      <c r="AW156" s="50"/>
      <c r="BG156" s="50"/>
      <c r="BQ156" s="50"/>
      <c r="CA156" s="50"/>
    </row>
    <row r="157" spans="1:82" ht="15" customHeight="1" x14ac:dyDescent="0.3">
      <c r="AC157" s="50"/>
      <c r="AM157" s="50"/>
      <c r="AW157" s="50"/>
      <c r="BG157" s="50"/>
      <c r="BQ157" s="50"/>
      <c r="CA157" s="50"/>
    </row>
    <row r="158" spans="1:82" ht="15" customHeight="1" x14ac:dyDescent="0.3">
      <c r="AC158" s="50"/>
      <c r="AM158" s="50"/>
      <c r="AW158" s="50"/>
      <c r="BG158" s="50"/>
      <c r="BQ158" s="50"/>
      <c r="CA158" s="50"/>
    </row>
    <row r="159" spans="1:82" ht="15" customHeight="1" x14ac:dyDescent="0.3">
      <c r="AC159" s="50"/>
      <c r="AM159" s="50"/>
      <c r="AW159" s="50"/>
      <c r="BG159" s="50"/>
      <c r="BQ159" s="50"/>
      <c r="CA159" s="50"/>
    </row>
    <row r="160" spans="1:82" ht="15" customHeight="1" x14ac:dyDescent="0.3">
      <c r="AC160" s="50"/>
      <c r="AM160" s="50"/>
      <c r="AW160" s="50"/>
      <c r="BG160" s="50"/>
      <c r="BQ160" s="50"/>
      <c r="CA160" s="50"/>
    </row>
    <row r="161" spans="29:79" ht="15" customHeight="1" x14ac:dyDescent="0.3">
      <c r="AC161" s="50"/>
      <c r="AM161" s="50"/>
      <c r="AW161" s="50"/>
      <c r="BG161" s="50"/>
      <c r="BQ161" s="50"/>
      <c r="CA161" s="50"/>
    </row>
    <row r="162" spans="29:79" ht="15" customHeight="1" x14ac:dyDescent="0.3">
      <c r="AC162" s="50"/>
      <c r="AM162" s="50"/>
      <c r="AW162" s="50"/>
      <c r="BG162" s="50"/>
      <c r="BQ162" s="50"/>
      <c r="CA162" s="50"/>
    </row>
    <row r="163" spans="29:79" ht="15" customHeight="1" x14ac:dyDescent="0.3">
      <c r="AC163" s="50"/>
      <c r="AM163" s="50"/>
      <c r="AW163" s="50"/>
      <c r="BG163" s="50"/>
      <c r="BQ163" s="50"/>
      <c r="CA163" s="50"/>
    </row>
    <row r="164" spans="29:79" ht="15" customHeight="1" x14ac:dyDescent="0.3">
      <c r="AC164" s="50"/>
      <c r="AM164" s="50"/>
      <c r="AW164" s="50"/>
      <c r="BG164" s="50"/>
      <c r="BQ164" s="50"/>
      <c r="CA164" s="50"/>
    </row>
    <row r="165" spans="29:79" ht="15" customHeight="1" x14ac:dyDescent="0.3">
      <c r="AC165" s="50"/>
      <c r="AM165" s="50"/>
      <c r="AW165" s="50"/>
      <c r="BG165" s="50"/>
      <c r="BQ165" s="50"/>
      <c r="CA165" s="50"/>
    </row>
    <row r="166" spans="29:79" ht="15" customHeight="1" x14ac:dyDescent="0.3">
      <c r="AC166" s="50"/>
      <c r="AM166" s="50"/>
      <c r="AW166" s="50"/>
      <c r="BG166" s="50"/>
      <c r="BQ166" s="50"/>
      <c r="CA166" s="50"/>
    </row>
    <row r="167" spans="29:79" ht="15" customHeight="1" x14ac:dyDescent="0.3">
      <c r="AC167" s="50"/>
      <c r="AM167" s="50"/>
      <c r="AW167" s="50"/>
      <c r="BG167" s="50"/>
      <c r="BQ167" s="50"/>
      <c r="CA167" s="50"/>
    </row>
    <row r="168" spans="29:79" ht="15" customHeight="1" x14ac:dyDescent="0.3">
      <c r="AC168" s="50"/>
      <c r="AM168" s="50"/>
      <c r="AW168" s="50"/>
      <c r="BG168" s="50"/>
      <c r="BQ168" s="50"/>
      <c r="CA168" s="50"/>
    </row>
    <row r="169" spans="29:79" ht="15" customHeight="1" x14ac:dyDescent="0.3">
      <c r="AC169" s="50"/>
      <c r="AM169" s="50"/>
      <c r="AW169" s="50"/>
      <c r="BG169" s="50"/>
      <c r="BQ169" s="50"/>
      <c r="CA169" s="50"/>
    </row>
    <row r="170" spans="29:79" ht="15" customHeight="1" x14ac:dyDescent="0.3">
      <c r="AC170" s="50"/>
      <c r="AM170" s="50"/>
      <c r="AW170" s="50"/>
      <c r="BG170" s="50"/>
      <c r="BQ170" s="50"/>
      <c r="CA170" s="50"/>
    </row>
    <row r="171" spans="29:79" ht="15" customHeight="1" x14ac:dyDescent="0.3">
      <c r="AC171" s="50"/>
      <c r="AM171" s="50"/>
      <c r="AW171" s="50"/>
      <c r="BG171" s="50"/>
      <c r="BQ171" s="50"/>
      <c r="CA171" s="50"/>
    </row>
    <row r="172" spans="29:79" ht="15" customHeight="1" x14ac:dyDescent="0.3">
      <c r="AC172" s="50"/>
      <c r="AM172" s="50"/>
      <c r="AW172" s="50"/>
      <c r="BG172" s="50"/>
      <c r="BQ172" s="50"/>
      <c r="CA172" s="50"/>
    </row>
    <row r="173" spans="29:79" ht="15" customHeight="1" x14ac:dyDescent="0.3">
      <c r="AC173" s="50"/>
      <c r="AM173" s="50"/>
      <c r="AW173" s="50"/>
      <c r="BG173" s="50"/>
      <c r="BQ173" s="50"/>
      <c r="CA173" s="50"/>
    </row>
    <row r="174" spans="29:79" ht="15" customHeight="1" x14ac:dyDescent="0.3">
      <c r="AC174" s="50"/>
      <c r="AM174" s="50"/>
      <c r="AW174" s="50"/>
      <c r="BG174" s="50"/>
      <c r="BQ174" s="50"/>
      <c r="CA174" s="50"/>
    </row>
    <row r="175" spans="29:79" ht="15" customHeight="1" x14ac:dyDescent="0.3">
      <c r="AC175" s="50"/>
      <c r="AM175" s="50"/>
      <c r="AW175" s="50"/>
      <c r="BG175" s="50"/>
      <c r="BQ175" s="50"/>
      <c r="CA175" s="50"/>
    </row>
    <row r="176" spans="29:79" ht="15" customHeight="1" x14ac:dyDescent="0.3">
      <c r="AC176" s="50"/>
      <c r="AM176" s="50"/>
      <c r="AW176" s="50"/>
      <c r="BG176" s="50"/>
      <c r="BQ176" s="50"/>
      <c r="CA176" s="50"/>
    </row>
    <row r="177" spans="29:79" ht="15" customHeight="1" x14ac:dyDescent="0.3">
      <c r="AC177" s="50"/>
      <c r="AM177" s="50"/>
      <c r="AW177" s="50"/>
      <c r="BG177" s="50"/>
      <c r="BQ177" s="50"/>
      <c r="CA177" s="50"/>
    </row>
    <row r="178" spans="29:79" ht="15" customHeight="1" x14ac:dyDescent="0.3">
      <c r="AC178" s="50"/>
      <c r="AM178" s="50"/>
      <c r="AW178" s="50"/>
      <c r="BG178" s="50"/>
      <c r="BQ178" s="50"/>
      <c r="CA178" s="50"/>
    </row>
    <row r="179" spans="29:79" ht="15" customHeight="1" x14ac:dyDescent="0.3">
      <c r="AC179" s="50"/>
      <c r="AM179" s="50"/>
      <c r="AW179" s="50"/>
      <c r="BG179" s="50"/>
      <c r="BQ179" s="50"/>
      <c r="CA179" s="50"/>
    </row>
    <row r="180" spans="29:79" ht="15" customHeight="1" x14ac:dyDescent="0.3">
      <c r="AC180" s="50"/>
      <c r="AM180" s="50"/>
      <c r="AW180" s="50"/>
      <c r="BG180" s="50"/>
      <c r="BQ180" s="50"/>
      <c r="CA180" s="50"/>
    </row>
    <row r="181" spans="29:79" ht="15" customHeight="1" x14ac:dyDescent="0.3">
      <c r="AC181" s="50"/>
      <c r="AM181" s="50"/>
      <c r="AW181" s="50"/>
      <c r="BG181" s="50"/>
      <c r="BQ181" s="50"/>
      <c r="CA181" s="50"/>
    </row>
    <row r="182" spans="29:79" ht="15" customHeight="1" x14ac:dyDescent="0.3">
      <c r="AC182" s="50"/>
      <c r="AM182" s="50"/>
      <c r="AW182" s="50"/>
      <c r="BG182" s="50"/>
      <c r="BQ182" s="50"/>
      <c r="CA182" s="50"/>
    </row>
    <row r="183" spans="29:79" ht="15" customHeight="1" x14ac:dyDescent="0.3">
      <c r="AC183" s="50"/>
      <c r="AM183" s="50"/>
      <c r="AW183" s="50"/>
      <c r="BG183" s="50"/>
      <c r="BQ183" s="50"/>
      <c r="CA183" s="50"/>
    </row>
    <row r="184" spans="29:79" ht="15" customHeight="1" x14ac:dyDescent="0.3">
      <c r="AC184" s="50"/>
      <c r="AM184" s="50"/>
      <c r="AW184" s="50"/>
      <c r="BG184" s="50"/>
      <c r="BQ184" s="50"/>
      <c r="CA184" s="50"/>
    </row>
    <row r="185" spans="29:79" ht="15" customHeight="1" x14ac:dyDescent="0.3">
      <c r="AC185" s="50"/>
      <c r="AM185" s="50"/>
      <c r="AW185" s="50"/>
      <c r="BG185" s="50"/>
      <c r="BQ185" s="50"/>
      <c r="CA185" s="50"/>
    </row>
    <row r="186" spans="29:79" ht="15" customHeight="1" x14ac:dyDescent="0.3">
      <c r="AC186" s="50"/>
      <c r="AM186" s="50"/>
      <c r="AW186" s="50"/>
      <c r="BG186" s="50"/>
      <c r="BQ186" s="50"/>
      <c r="CA186" s="50"/>
    </row>
    <row r="187" spans="29:79" ht="15" customHeight="1" x14ac:dyDescent="0.3">
      <c r="AC187" s="50"/>
      <c r="AM187" s="50"/>
      <c r="AW187" s="50"/>
      <c r="BG187" s="50"/>
      <c r="BQ187" s="50"/>
      <c r="CA187" s="50"/>
    </row>
    <row r="188" spans="29:79" ht="15" customHeight="1" x14ac:dyDescent="0.3">
      <c r="AC188" s="50"/>
      <c r="AM188" s="50"/>
      <c r="AW188" s="50"/>
      <c r="BG188" s="50"/>
      <c r="BQ188" s="50"/>
      <c r="CA188" s="50"/>
    </row>
    <row r="189" spans="29:79" ht="15" customHeight="1" x14ac:dyDescent="0.3">
      <c r="AC189" s="50"/>
      <c r="AM189" s="50"/>
      <c r="AW189" s="50"/>
      <c r="BG189" s="50"/>
      <c r="BQ189" s="50"/>
      <c r="CA189" s="50"/>
    </row>
    <row r="190" spans="29:79" ht="15" customHeight="1" x14ac:dyDescent="0.3">
      <c r="AC190" s="50"/>
      <c r="AM190" s="50"/>
      <c r="AW190" s="50"/>
      <c r="BG190" s="50"/>
      <c r="BQ190" s="50"/>
      <c r="CA190" s="50"/>
    </row>
    <row r="191" spans="29:79" ht="15" customHeight="1" x14ac:dyDescent="0.3">
      <c r="AC191" s="50"/>
      <c r="AM191" s="50"/>
      <c r="AW191" s="50"/>
      <c r="BG191" s="50"/>
      <c r="BQ191" s="50"/>
      <c r="CA191" s="50"/>
    </row>
    <row r="192" spans="29:79" ht="15" customHeight="1" x14ac:dyDescent="0.3">
      <c r="AC192" s="50"/>
      <c r="AM192" s="50"/>
      <c r="AW192" s="50"/>
      <c r="BG192" s="50"/>
      <c r="BQ192" s="50"/>
      <c r="CA192" s="50"/>
    </row>
    <row r="193" spans="29:79" ht="15" customHeight="1" x14ac:dyDescent="0.3">
      <c r="AC193" s="50"/>
      <c r="AM193" s="50"/>
      <c r="AW193" s="50"/>
      <c r="BG193" s="50"/>
      <c r="BQ193" s="50"/>
      <c r="CA193" s="50"/>
    </row>
    <row r="194" spans="29:79" ht="15" customHeight="1" x14ac:dyDescent="0.3">
      <c r="AC194" s="50"/>
      <c r="AM194" s="50"/>
      <c r="AW194" s="50"/>
      <c r="BG194" s="50"/>
      <c r="BQ194" s="50"/>
      <c r="CA194" s="50"/>
    </row>
    <row r="195" spans="29:79" ht="15" customHeight="1" x14ac:dyDescent="0.3">
      <c r="AC195" s="50"/>
      <c r="AM195" s="50"/>
      <c r="AW195" s="50"/>
      <c r="BG195" s="50"/>
      <c r="BQ195" s="50"/>
      <c r="CA195" s="50"/>
    </row>
    <row r="196" spans="29:79" ht="15" customHeight="1" x14ac:dyDescent="0.3">
      <c r="AC196" s="50"/>
      <c r="AM196" s="50"/>
      <c r="AW196" s="50"/>
      <c r="BG196" s="50"/>
      <c r="BQ196" s="50"/>
      <c r="CA196" s="50"/>
    </row>
    <row r="197" spans="29:79" ht="15" customHeight="1" x14ac:dyDescent="0.3">
      <c r="AC197" s="50"/>
      <c r="AM197" s="50"/>
      <c r="AW197" s="50"/>
      <c r="BG197" s="50"/>
      <c r="BQ197" s="50"/>
      <c r="CA197" s="50"/>
    </row>
    <row r="198" spans="29:79" ht="15" customHeight="1" x14ac:dyDescent="0.3">
      <c r="AC198" s="50"/>
      <c r="AM198" s="50"/>
      <c r="AW198" s="50"/>
      <c r="BG198" s="50"/>
      <c r="BQ198" s="50"/>
      <c r="CA198" s="50"/>
    </row>
    <row r="199" spans="29:79" ht="15" customHeight="1" x14ac:dyDescent="0.3">
      <c r="AC199" s="50"/>
      <c r="AM199" s="50"/>
      <c r="AW199" s="50"/>
      <c r="BG199" s="50"/>
      <c r="BQ199" s="50"/>
      <c r="CA199" s="50"/>
    </row>
    <row r="200" spans="29:79" ht="15" customHeight="1" x14ac:dyDescent="0.3">
      <c r="AC200" s="50"/>
      <c r="AM200" s="50"/>
      <c r="AW200" s="50"/>
      <c r="BG200" s="50"/>
      <c r="BQ200" s="50"/>
      <c r="CA200" s="50"/>
    </row>
    <row r="201" spans="29:79" ht="15" customHeight="1" x14ac:dyDescent="0.3">
      <c r="AC201" s="50"/>
      <c r="AM201" s="50"/>
      <c r="AW201" s="50"/>
      <c r="BG201" s="50"/>
      <c r="BQ201" s="50"/>
      <c r="CA201" s="50"/>
    </row>
    <row r="202" spans="29:79" ht="15" customHeight="1" x14ac:dyDescent="0.3">
      <c r="AC202" s="50"/>
      <c r="AM202" s="50"/>
      <c r="AW202" s="50"/>
      <c r="BG202" s="50"/>
      <c r="BQ202" s="50"/>
      <c r="CA202" s="50"/>
    </row>
  </sheetData>
  <sortState xmlns:xlrd2="http://schemas.microsoft.com/office/spreadsheetml/2017/richdata2" ref="A2:CA427">
    <sortCondition ref="A2:A427"/>
  </sortState>
  <mergeCells count="3">
    <mergeCell ref="CI1:CJ1"/>
    <mergeCell ref="CI32:CJ32"/>
    <mergeCell ref="CF32:CG32"/>
  </mergeCells>
  <phoneticPr fontId="2" type="noConversion"/>
  <conditionalFormatting sqref="G1:G145 G147:G1048576">
    <cfRule type="timePeriod" dxfId="7" priority="1" stopIfTrue="1" timePeriod="thisMonth">
      <formula>AND(MONTH(G1)=MONTH(TODAY()),YEAR(G1)=YEAR(TODAY()))</formula>
    </cfRule>
  </conditionalFormatting>
  <conditionalFormatting sqref="T2:T146">
    <cfRule type="timePeriod" dxfId="6" priority="8" stopIfTrue="1" timePeriod="lastMonth">
      <formula>AND(MONTH(T2)=MONTH(EDATE(TODAY(),0-1)),YEAR(T2)=YEAR(EDATE(TODAY(),0-1)))</formula>
    </cfRule>
  </conditionalFormatting>
  <conditionalFormatting sqref="V2:V146">
    <cfRule type="timePeriod" dxfId="5" priority="6" stopIfTrue="1" timePeriod="lastMonth">
      <formula>AND(MONTH(V2)=MONTH(EDATE(TODAY(),0-1)),YEAR(V2)=YEAR(EDATE(TODAY(),0-1)))</formula>
    </cfRule>
  </conditionalFormatting>
  <conditionalFormatting sqref="AF1:AF1048576">
    <cfRule type="timePeriod" dxfId="4" priority="7" stopIfTrue="1" timePeriod="lastMonth">
      <formula>AND(MONTH(AF1)=MONTH(EDATE(TODAY(),0-1)),YEAR(AF1)=YEAR(EDATE(TODAY(),0-1)))</formula>
    </cfRule>
  </conditionalFormatting>
  <conditionalFormatting sqref="AP1:AP1048576">
    <cfRule type="timePeriod" dxfId="3" priority="5" stopIfTrue="1" timePeriod="thisMonth">
      <formula>AND(MONTH(AP1)=MONTH(TODAY()),YEAR(AP1)=YEAR(TODAY()))</formula>
    </cfRule>
  </conditionalFormatting>
  <conditionalFormatting sqref="AZ1:AZ1048576">
    <cfRule type="timePeriod" dxfId="2" priority="4" stopIfTrue="1" timePeriod="thisMonth">
      <formula>AND(MONTH(AZ1)=MONTH(TODAY()),YEAR(AZ1)=YEAR(TODAY()))</formula>
    </cfRule>
  </conditionalFormatting>
  <conditionalFormatting sqref="BJ1:BJ1048576">
    <cfRule type="timePeriod" dxfId="1" priority="3" stopIfTrue="1" timePeriod="thisMonth">
      <formula>AND(MONTH(BJ1)=MONTH(TODAY()),YEAR(BJ1)=YEAR(TODAY()))</formula>
    </cfRule>
  </conditionalFormatting>
  <conditionalFormatting sqref="BT1:BT1048576">
    <cfRule type="timePeriod" dxfId="0" priority="2" timePeriod="thisMonth">
      <formula>AND(MONTH(BT1)=MONTH(TODAY()),YEAR(BT1)=YEAR(TODAY()))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D78E32DAAD3646BC9679137D0E2C28" ma:contentTypeVersion="5" ma:contentTypeDescription="Create a new document." ma:contentTypeScope="" ma:versionID="44081310ff2731e3a15b7658ecdb8fa7">
  <xsd:schema xmlns:xsd="http://www.w3.org/2001/XMLSchema" xmlns:xs="http://www.w3.org/2001/XMLSchema" xmlns:p="http://schemas.microsoft.com/office/2006/metadata/properties" xmlns:ns3="bf8545ff-ee50-4096-86f8-50f21dae041c" targetNamespace="http://schemas.microsoft.com/office/2006/metadata/properties" ma:root="true" ma:fieldsID="da001f2fed8ad3f35d9a0ae37ab2d79e" ns3:_="">
    <xsd:import namespace="bf8545ff-ee50-4096-86f8-50f21dae041c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8545ff-ee50-4096-86f8-50f21dae041c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9658C5D-C510-4485-8322-6379AAA2718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F1343E2-4667-400E-82EA-A0DA7E26E891}">
  <ds:schemaRefs>
    <ds:schemaRef ds:uri="bf8545ff-ee50-4096-86f8-50f21dae041c"/>
    <ds:schemaRef ds:uri="http://purl.org/dc/elements/1.1/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B0365B3E-1469-4FE8-A927-FA6AF514CCE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f8545ff-ee50-4096-86f8-50f21dae04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2023 Snares</vt:lpstr>
      <vt:lpstr>2024 Snares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Ben</dc:creator>
  <cp:keywords/>
  <dc:description/>
  <cp:lastModifiedBy>Benjamin Scott Carr</cp:lastModifiedBy>
  <cp:revision/>
  <dcterms:created xsi:type="dcterms:W3CDTF">2023-05-14T18:02:40Z</dcterms:created>
  <dcterms:modified xsi:type="dcterms:W3CDTF">2024-11-21T21:41:25Z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0x010100E6D78E32DAAD3646BC9679137D0E2C28</vt:lpwstr>
  </property>
</Properties>
</file>